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8705"/>
  <workbookPr autoCompressPictures="0"/>
  <workbookProtection workbookPassword="C446" lockStructure="1"/>
  <bookViews>
    <workbookView xWindow="2860" yWindow="80" windowWidth="34580" windowHeight="18500" activeTab="2"/>
  </bookViews>
  <sheets>
    <sheet name="INSTRUÇÕES" sheetId="4" r:id="rId1"/>
    <sheet name="SUMÁRIO" sheetId="5" r:id="rId2"/>
    <sheet name="GRÁFICOS" sheetId="6" r:id="rId3"/>
    <sheet name="DADOS ESPÉCIES" sheetId="7" r:id="rId4"/>
  </sheets>
  <externalReferences>
    <externalReference r:id="rId5"/>
  </externalReferences>
  <definedNames>
    <definedName name="classe_ind_real">'[1]DADOS ESPÉCIES'!$AF$3:$AF$15</definedName>
    <definedName name="classe_ind_real2">'DADOS ESPÉCIES'!$AE$3:$AE$16</definedName>
    <definedName name="especies_substrato">'DADOS ESPÉCIES'!$AD$2:$AD$75</definedName>
    <definedName name="_xlnm.Print_Area" localSheetId="3">'DADOS ESPÉCIES'!$B$2:$W$67</definedName>
    <definedName name="_xlnm.Print_Area" localSheetId="2">GRÁFICOS!$B$4:$M$45</definedName>
    <definedName name="_xlnm.Print_Area" localSheetId="0">INSTRUÇÕES!$A$3:$A$48</definedName>
    <definedName name="_xlnm.Print_Area" localSheetId="1">SUMÁRIO!$B$2:$U$65</definedName>
    <definedName name="saúde">'DADOS ESPÉCIES'!$G$9,'DADOS ESPÉCIES'!$G$11,'DADOS ESPÉCIES'!$G$14,'DADOS ESPÉCIES'!$G$15</definedName>
  </definedName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V61" i="7" l="1"/>
  <c r="Q61" i="7"/>
  <c r="L61" i="7"/>
  <c r="G61" i="7"/>
  <c r="S59" i="7"/>
  <c r="S58" i="7"/>
  <c r="S57" i="7"/>
  <c r="S56" i="7"/>
  <c r="S55" i="7"/>
  <c r="S54" i="7"/>
  <c r="S53" i="7"/>
  <c r="S52" i="7"/>
  <c r="S51" i="7"/>
  <c r="S50" i="7"/>
  <c r="S49" i="7"/>
  <c r="S48" i="7"/>
  <c r="S47" i="7"/>
  <c r="S46" i="7"/>
  <c r="S45" i="7"/>
  <c r="S44" i="7"/>
  <c r="S43" i="7"/>
  <c r="S42" i="7"/>
  <c r="S41" i="7"/>
  <c r="S40" i="7"/>
  <c r="S39" i="7"/>
  <c r="S38" i="7"/>
  <c r="S37" i="7"/>
  <c r="S36" i="7"/>
  <c r="S35" i="7"/>
  <c r="S34" i="7"/>
  <c r="S33" i="7"/>
  <c r="S32" i="7"/>
  <c r="S31" i="7"/>
  <c r="S30" i="7"/>
  <c r="S29" i="7"/>
  <c r="S28" i="7"/>
  <c r="S27" i="7"/>
  <c r="S26" i="7"/>
  <c r="S25" i="7"/>
  <c r="S24" i="7"/>
  <c r="S23" i="7"/>
  <c r="S22" i="7"/>
  <c r="S21" i="7"/>
  <c r="S20" i="7"/>
  <c r="N59" i="7"/>
  <c r="N58" i="7"/>
  <c r="N57" i="7"/>
  <c r="N56" i="7"/>
  <c r="N55" i="7"/>
  <c r="N54" i="7"/>
  <c r="N53" i="7"/>
  <c r="N52" i="7"/>
  <c r="N51" i="7"/>
  <c r="N50" i="7"/>
  <c r="N49" i="7"/>
  <c r="N48" i="7"/>
  <c r="N47" i="7"/>
  <c r="N46" i="7"/>
  <c r="N45" i="7"/>
  <c r="N44" i="7"/>
  <c r="N43" i="7"/>
  <c r="N42" i="7"/>
  <c r="N41" i="7"/>
  <c r="N40" i="7"/>
  <c r="N39" i="7"/>
  <c r="N38" i="7"/>
  <c r="N37" i="7"/>
  <c r="N36" i="7"/>
  <c r="N35" i="7"/>
  <c r="N34" i="7"/>
  <c r="N33" i="7"/>
  <c r="N32" i="7"/>
  <c r="N31" i="7"/>
  <c r="N30" i="7"/>
  <c r="N29" i="7"/>
  <c r="N28" i="7"/>
  <c r="N27" i="7"/>
  <c r="N26" i="7"/>
  <c r="N25" i="7"/>
  <c r="N24" i="7"/>
  <c r="N23" i="7"/>
  <c r="N22" i="7"/>
  <c r="N21" i="7"/>
  <c r="N20" i="7"/>
  <c r="I59" i="7"/>
  <c r="I58" i="7"/>
  <c r="I57" i="7"/>
  <c r="I56" i="7"/>
  <c r="I55" i="7"/>
  <c r="I54" i="7"/>
  <c r="I53" i="7"/>
  <c r="I52" i="7"/>
  <c r="I51" i="7"/>
  <c r="I50" i="7"/>
  <c r="I49" i="7"/>
  <c r="I48" i="7"/>
  <c r="I47" i="7"/>
  <c r="I46" i="7"/>
  <c r="I45" i="7"/>
  <c r="I44" i="7"/>
  <c r="I43" i="7"/>
  <c r="I42" i="7"/>
  <c r="I41" i="7"/>
  <c r="I40" i="7"/>
  <c r="I39" i="7"/>
  <c r="I38" i="7"/>
  <c r="I37" i="7"/>
  <c r="I36" i="7"/>
  <c r="I35" i="7"/>
  <c r="I34" i="7"/>
  <c r="I33" i="7"/>
  <c r="I32" i="7"/>
  <c r="I31" i="7"/>
  <c r="I30" i="7"/>
  <c r="I29" i="7"/>
  <c r="I28" i="7"/>
  <c r="I27" i="7"/>
  <c r="I26" i="7"/>
  <c r="I25" i="7"/>
  <c r="I24" i="7"/>
  <c r="I23" i="7"/>
  <c r="I22" i="7"/>
  <c r="I21" i="7"/>
  <c r="I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20" i="7"/>
  <c r="V60" i="7"/>
  <c r="Q60" i="7"/>
  <c r="L60" i="7"/>
  <c r="G60" i="7"/>
  <c r="S34" i="5"/>
  <c r="O34" i="5"/>
  <c r="K34" i="5"/>
  <c r="G34" i="5"/>
  <c r="S33" i="5"/>
  <c r="O33" i="5"/>
  <c r="K33" i="5"/>
  <c r="G33" i="5"/>
  <c r="S32" i="5"/>
  <c r="O32" i="5"/>
  <c r="K32" i="5"/>
  <c r="G32" i="5"/>
  <c r="S31" i="5"/>
  <c r="O31" i="5"/>
  <c r="K31" i="5"/>
  <c r="G31" i="5"/>
  <c r="S30" i="5"/>
  <c r="O30" i="5"/>
  <c r="K30" i="5"/>
  <c r="G30" i="5"/>
  <c r="S29" i="5"/>
  <c r="O29" i="5"/>
  <c r="K29" i="5"/>
  <c r="G29" i="5"/>
  <c r="S28" i="5"/>
  <c r="O28" i="5"/>
  <c r="K28" i="5"/>
  <c r="G28" i="5"/>
  <c r="S27" i="5"/>
  <c r="O27" i="5"/>
  <c r="K27" i="5"/>
  <c r="G27" i="5"/>
  <c r="S26" i="5"/>
  <c r="O26" i="5"/>
  <c r="K26" i="5"/>
  <c r="G26" i="5"/>
  <c r="S25" i="5"/>
  <c r="O25" i="5"/>
  <c r="K25" i="5"/>
  <c r="G25" i="5"/>
  <c r="S24" i="5"/>
  <c r="O24" i="5"/>
  <c r="K24" i="5"/>
  <c r="G24" i="5"/>
  <c r="S23" i="5"/>
  <c r="O23" i="5"/>
  <c r="K23" i="5"/>
  <c r="G23" i="5"/>
  <c r="S22" i="5"/>
  <c r="O22" i="5"/>
  <c r="K22" i="5"/>
  <c r="G22" i="5"/>
  <c r="S21" i="5"/>
  <c r="O21" i="5"/>
  <c r="K21" i="5"/>
  <c r="G21" i="5"/>
  <c r="S20" i="5"/>
  <c r="O20" i="5"/>
  <c r="K20" i="5"/>
  <c r="G20" i="5"/>
  <c r="S19" i="5"/>
  <c r="O19" i="5"/>
  <c r="K19" i="5"/>
  <c r="G19" i="5"/>
  <c r="S18" i="5"/>
  <c r="O18" i="5"/>
  <c r="K18" i="5"/>
  <c r="G18" i="5"/>
  <c r="S17" i="5"/>
  <c r="O17" i="5"/>
  <c r="K17" i="5"/>
  <c r="G17" i="5"/>
  <c r="S16" i="5"/>
  <c r="O16" i="5"/>
  <c r="K16" i="5"/>
  <c r="G16" i="5"/>
  <c r="S15" i="5"/>
  <c r="O15" i="5"/>
  <c r="K15" i="5"/>
  <c r="G15" i="5"/>
  <c r="Q34" i="5"/>
  <c r="M34" i="5"/>
  <c r="I34" i="5"/>
  <c r="E34" i="5"/>
  <c r="Q33" i="5"/>
  <c r="M33" i="5"/>
  <c r="I33" i="5"/>
  <c r="E33" i="5"/>
  <c r="Q32" i="5"/>
  <c r="M32" i="5"/>
  <c r="I32" i="5"/>
  <c r="E32" i="5"/>
  <c r="Q31" i="5"/>
  <c r="M31" i="5"/>
  <c r="I31" i="5"/>
  <c r="E31" i="5"/>
  <c r="Q30" i="5"/>
  <c r="M30" i="5"/>
  <c r="I30" i="5"/>
  <c r="E30" i="5"/>
  <c r="Q29" i="5"/>
  <c r="M29" i="5"/>
  <c r="I29" i="5"/>
  <c r="E29" i="5"/>
  <c r="Q28" i="5"/>
  <c r="M28" i="5"/>
  <c r="I28" i="5"/>
  <c r="E28" i="5"/>
  <c r="Q27" i="5"/>
  <c r="M27" i="5"/>
  <c r="I27" i="5"/>
  <c r="E27" i="5"/>
  <c r="Q26" i="5"/>
  <c r="M26" i="5"/>
  <c r="I26" i="5"/>
  <c r="E26" i="5"/>
  <c r="Q25" i="5"/>
  <c r="M25" i="5"/>
  <c r="I25" i="5"/>
  <c r="E25" i="5"/>
  <c r="Q24" i="5"/>
  <c r="M24" i="5"/>
  <c r="I24" i="5"/>
  <c r="E24" i="5"/>
  <c r="Q23" i="5"/>
  <c r="M23" i="5"/>
  <c r="I23" i="5"/>
  <c r="E23" i="5"/>
  <c r="Q22" i="5"/>
  <c r="M22" i="5"/>
  <c r="I22" i="5"/>
  <c r="E22" i="5"/>
  <c r="Q21" i="5"/>
  <c r="M21" i="5"/>
  <c r="I21" i="5"/>
  <c r="E21" i="5"/>
  <c r="Q20" i="5"/>
  <c r="M20" i="5"/>
  <c r="I20" i="5"/>
  <c r="E20" i="5"/>
  <c r="Q19" i="5"/>
  <c r="M19" i="5"/>
  <c r="I19" i="5"/>
  <c r="E19" i="5"/>
  <c r="Q18" i="5"/>
  <c r="M18" i="5"/>
  <c r="I18" i="5"/>
  <c r="E18" i="5"/>
  <c r="Q17" i="5"/>
  <c r="M17" i="5"/>
  <c r="I17" i="5"/>
  <c r="E17" i="5"/>
  <c r="Q16" i="5"/>
  <c r="M16" i="5"/>
  <c r="I16" i="5"/>
  <c r="E16" i="5"/>
  <c r="Q15" i="5"/>
  <c r="M15" i="5"/>
  <c r="I15" i="5"/>
  <c r="E15" i="5"/>
  <c r="O37" i="5"/>
  <c r="O36" i="5"/>
  <c r="I53" i="5"/>
  <c r="T54" i="5"/>
  <c r="E53" i="5"/>
  <c r="R54" i="5"/>
  <c r="G53" i="5"/>
  <c r="S54" i="5"/>
  <c r="C53" i="5"/>
  <c r="Q54" i="5"/>
  <c r="I62" i="5"/>
  <c r="T63" i="5"/>
  <c r="G62" i="5"/>
  <c r="S63" i="5"/>
  <c r="E62" i="5"/>
  <c r="R63" i="5"/>
  <c r="C58" i="5"/>
  <c r="Q59" i="5"/>
  <c r="C61" i="5"/>
  <c r="Q62" i="5"/>
  <c r="C57" i="5"/>
  <c r="Q58" i="5"/>
  <c r="C56" i="5"/>
  <c r="Q57" i="5"/>
  <c r="C50" i="5"/>
  <c r="C52" i="5"/>
  <c r="C54" i="5"/>
  <c r="C59" i="5"/>
  <c r="Q60" i="5"/>
  <c r="C60" i="5"/>
  <c r="Q61" i="5"/>
  <c r="C51" i="5"/>
  <c r="C55" i="5"/>
  <c r="G38" i="5"/>
  <c r="C63" i="5"/>
  <c r="Q64" i="5"/>
  <c r="E50" i="5"/>
  <c r="G50" i="5"/>
  <c r="E52" i="5"/>
  <c r="E55" i="5"/>
  <c r="E57" i="5"/>
  <c r="E59" i="5"/>
  <c r="R60" i="5"/>
  <c r="E61" i="5"/>
  <c r="R62" i="5"/>
  <c r="E63" i="5"/>
  <c r="R64" i="5"/>
  <c r="I50" i="5"/>
  <c r="G52" i="5"/>
  <c r="G55" i="5"/>
  <c r="G57" i="5"/>
  <c r="G59" i="5"/>
  <c r="S60" i="5"/>
  <c r="G61" i="5"/>
  <c r="S62" i="5"/>
  <c r="G63" i="5"/>
  <c r="S64" i="5"/>
  <c r="I52" i="5"/>
  <c r="I55" i="5"/>
  <c r="I57" i="5"/>
  <c r="I59" i="5"/>
  <c r="T60" i="5"/>
  <c r="I61" i="5"/>
  <c r="T62" i="5"/>
  <c r="I63" i="5"/>
  <c r="T64" i="5"/>
  <c r="C62" i="5"/>
  <c r="E51" i="5"/>
  <c r="E54" i="5"/>
  <c r="E56" i="5"/>
  <c r="R57" i="5"/>
  <c r="E58" i="5"/>
  <c r="R59" i="5"/>
  <c r="E60" i="5"/>
  <c r="G51" i="5"/>
  <c r="S52" i="5"/>
  <c r="G54" i="5"/>
  <c r="S55" i="5"/>
  <c r="G56" i="5"/>
  <c r="S57" i="5"/>
  <c r="G58" i="5"/>
  <c r="S59" i="5"/>
  <c r="G60" i="5"/>
  <c r="S61" i="5"/>
  <c r="I51" i="5"/>
  <c r="T52" i="5"/>
  <c r="I54" i="5"/>
  <c r="T55" i="5"/>
  <c r="I56" i="5"/>
  <c r="T57" i="5"/>
  <c r="I58" i="5"/>
  <c r="T59" i="5"/>
  <c r="I60" i="5"/>
  <c r="T61" i="5"/>
  <c r="M54" i="5"/>
  <c r="K53" i="5"/>
  <c r="Q51" i="5"/>
  <c r="M51" i="5"/>
  <c r="R53" i="5"/>
  <c r="Q55" i="5"/>
  <c r="M55" i="5"/>
  <c r="S53" i="5"/>
  <c r="M53" i="5"/>
  <c r="K52" i="5"/>
  <c r="Q53" i="5"/>
  <c r="T53" i="5"/>
  <c r="Q52" i="5"/>
  <c r="M52" i="5"/>
  <c r="K57" i="5"/>
  <c r="N60" i="5"/>
  <c r="C21" i="6"/>
  <c r="C43" i="6"/>
  <c r="G40" i="5"/>
  <c r="M58" i="5"/>
  <c r="P60" i="5"/>
  <c r="D21" i="6"/>
  <c r="D43" i="6"/>
  <c r="C64" i="5"/>
  <c r="Q56" i="5"/>
  <c r="P64" i="5"/>
  <c r="D18" i="6"/>
  <c r="D36" i="6"/>
  <c r="G39" i="5"/>
  <c r="I39" i="5"/>
  <c r="R56" i="5"/>
  <c r="I38" i="5"/>
  <c r="K56" i="5"/>
  <c r="R55" i="5"/>
  <c r="K54" i="5"/>
  <c r="M62" i="5"/>
  <c r="E64" i="5"/>
  <c r="R51" i="5"/>
  <c r="R52" i="5"/>
  <c r="K51" i="5"/>
  <c r="K40" i="5"/>
  <c r="S58" i="5"/>
  <c r="N64" i="5"/>
  <c r="C18" i="6"/>
  <c r="C36" i="6"/>
  <c r="M59" i="5"/>
  <c r="K50" i="5"/>
  <c r="K39" i="5"/>
  <c r="S56" i="5"/>
  <c r="K38" i="5"/>
  <c r="M60" i="5"/>
  <c r="G64" i="5"/>
  <c r="S51" i="5"/>
  <c r="M63" i="5"/>
  <c r="K62" i="5"/>
  <c r="Q63" i="5"/>
  <c r="K61" i="5"/>
  <c r="K59" i="5"/>
  <c r="T56" i="5"/>
  <c r="M38" i="5"/>
  <c r="M39" i="5"/>
  <c r="I64" i="5"/>
  <c r="T51" i="5"/>
  <c r="P59" i="5"/>
  <c r="D22" i="6"/>
  <c r="D44" i="6"/>
  <c r="N59" i="5"/>
  <c r="C22" i="6"/>
  <c r="C44" i="6"/>
  <c r="K55" i="5"/>
  <c r="R61" i="5"/>
  <c r="P61" i="5"/>
  <c r="D19" i="6"/>
  <c r="D41" i="6"/>
  <c r="K60" i="5"/>
  <c r="K63" i="5"/>
  <c r="R58" i="5"/>
  <c r="I40" i="5"/>
  <c r="K58" i="5"/>
  <c r="M61" i="5"/>
  <c r="T58" i="5"/>
  <c r="M40" i="5"/>
  <c r="P62" i="5"/>
  <c r="D20" i="6"/>
  <c r="D42" i="6"/>
  <c r="N62" i="5"/>
  <c r="C20" i="6"/>
  <c r="C42" i="6"/>
  <c r="M64" i="5"/>
  <c r="M56" i="5"/>
  <c r="P57" i="5"/>
  <c r="D14" i="6"/>
  <c r="D29" i="6"/>
  <c r="N57" i="5"/>
  <c r="C14" i="6"/>
  <c r="C29" i="6"/>
  <c r="M57" i="5"/>
  <c r="N54" i="5"/>
  <c r="P54" i="5"/>
  <c r="P53" i="5"/>
  <c r="D11" i="6"/>
  <c r="N53" i="5"/>
  <c r="C11" i="6"/>
  <c r="P51" i="5"/>
  <c r="D9" i="6"/>
  <c r="D30" i="6"/>
  <c r="O38" i="5"/>
  <c r="O40" i="5"/>
  <c r="N51" i="5"/>
  <c r="C9" i="6"/>
  <c r="O39" i="5"/>
  <c r="P56" i="5"/>
  <c r="D15" i="6"/>
  <c r="D28" i="6"/>
  <c r="P58" i="5"/>
  <c r="D16" i="6"/>
  <c r="D40" i="6"/>
  <c r="N58" i="5"/>
  <c r="C16" i="6"/>
  <c r="C40" i="6"/>
  <c r="P52" i="5"/>
  <c r="D10" i="6"/>
  <c r="D31" i="6"/>
  <c r="N52" i="5"/>
  <c r="C10" i="6"/>
  <c r="C31" i="6"/>
  <c r="J64" i="5"/>
  <c r="N61" i="5"/>
  <c r="C19" i="6"/>
  <c r="C41" i="6"/>
  <c r="N56" i="5"/>
  <c r="C15" i="6"/>
  <c r="C28" i="6"/>
  <c r="P63" i="5"/>
  <c r="D17" i="6"/>
  <c r="D35" i="6"/>
  <c r="N63" i="5"/>
  <c r="C17" i="6"/>
  <c r="C35" i="6"/>
  <c r="N55" i="5"/>
  <c r="C13" i="6"/>
  <c r="C34" i="6"/>
  <c r="P55" i="5"/>
  <c r="D13" i="6"/>
  <c r="D34" i="6"/>
  <c r="C30" i="6"/>
  <c r="C32" i="6"/>
  <c r="C12" i="6"/>
  <c r="C33" i="6"/>
  <c r="D32" i="6"/>
  <c r="D12" i="6"/>
  <c r="D33" i="6"/>
  <c r="C24" i="6"/>
</calcChain>
</file>

<file path=xl/sharedStrings.xml><?xml version="1.0" encoding="utf-8"?>
<sst xmlns="http://schemas.openxmlformats.org/spreadsheetml/2006/main" count="839" uniqueCount="253">
  <si>
    <t>COMO USAR AS PLANILHAS EXCEL</t>
  </si>
  <si>
    <t>COMO ANALISAR OS DADOS</t>
  </si>
  <si>
    <t>COMO ENVIAR OS DADOS</t>
  </si>
  <si>
    <t>Como exemplo, se foi realizado um mergulho na Laje do Sancho no dia 9 de novembro de 2010, a 5 m, então haverá 4 arquivos a preencher:</t>
  </si>
  <si>
    <t>Laje do Sancho_9-11-10_sítio             Laje do Sancho_9-11-10_faixa</t>
  </si>
  <si>
    <t>Laje do Sancho_9-11-10_PIT              Laje do Sancho_9-11-10_corais</t>
  </si>
  <si>
    <r>
      <t>2. Envie os dados para</t>
    </r>
    <r>
      <rPr>
        <sz val="12"/>
        <color indexed="12"/>
        <rFont val="Arial"/>
        <family val="2"/>
      </rPr>
      <t xml:space="preserve"> reefcheckbrasil@gmail.com</t>
    </r>
  </si>
  <si>
    <t>COMO INTERPRETAR OS GRÁFICOS</t>
  </si>
  <si>
    <t>Os gráficos mostram a abundância de várias espécies indicadoras ou impactos no ambiente recifal. As barras em cada coluna são chamadas “barras de erro” e representam o erro padrão (EP). O EP indica o grau com que os nossos dados representam no mundo real (a acurácia da nossa média amostral na estimativa da média da população). Se o EP for baixo, os dados são precisos e representam a população do local amostrado. Se o EP for alto, os dados não representam bem o ambiente monitorado. Para aumentar a precisão, e diminuir o EP, mais transectos devem ser realizados.</t>
  </si>
  <si>
    <t>Quando essas barras de erro se sobrepõem entre si, significa que as diferenças na abundância das espécies ou impactos não são estatisticamente significantes (independentemente de quanto as médias são diferentes). Onde as barras de erros não se sobrepõem, as diferenças na abundância PODEM ser significativamente diferentes.</t>
  </si>
  <si>
    <t>Caso seja importante determinar se as diferenças são estatisticamente diferentes, é necessário utilizar testes estatísticos, por exemplo Teste t ou ANOVA para dados com distribuição normal, e testes não paramétricos Kruskal-Wallis ou o Teste U de Mann-Whitney para dados com distribuições não normais.</t>
  </si>
  <si>
    <t>Publicações úteis:</t>
  </si>
  <si>
    <t>Para um começo básico, mas muito bom tente "The Statistical Sleuth - A Course in Methods of Data Analysis", por F. Ramsey e D. Schafer, 2002, Duxbury Press.</t>
  </si>
  <si>
    <t>Para ANOVAs "Experiments in ecology: their logical design and interpretation using analysis of variance" por A. J. Underwood, 1997, Cambridge University Press.</t>
  </si>
  <si>
    <t>Para estatística geral "Experimental Design and Data Analysis for Biologists", por G. P. Quinn e M. J. Keough, 2002, Cambridge University Press.</t>
  </si>
  <si>
    <t>Sítio:</t>
  </si>
  <si>
    <t xml:space="preserve">Região: </t>
  </si>
  <si>
    <t>Profundidade:</t>
  </si>
  <si>
    <t>Data:</t>
  </si>
  <si>
    <t>Líder da equipe:</t>
  </si>
  <si>
    <t>Dados registrados por (nome completo):</t>
  </si>
  <si>
    <t>SP</t>
  </si>
  <si>
    <t>esponja</t>
  </si>
  <si>
    <t>AR</t>
  </si>
  <si>
    <t xml:space="preserve">areia </t>
  </si>
  <si>
    <t>CRM</t>
  </si>
  <si>
    <t>coral recém morto</t>
  </si>
  <si>
    <t>RC</t>
  </si>
  <si>
    <t xml:space="preserve">rocha </t>
  </si>
  <si>
    <t>AG</t>
  </si>
  <si>
    <t>argila</t>
  </si>
  <si>
    <t>CM</t>
  </si>
  <si>
    <t>coral mole</t>
  </si>
  <si>
    <t>CC</t>
  </si>
  <si>
    <t>cascalho</t>
  </si>
  <si>
    <t>OT</t>
  </si>
  <si>
    <t>outros</t>
  </si>
  <si>
    <t>CD</t>
  </si>
  <si>
    <t xml:space="preserve">coral duro </t>
  </si>
  <si>
    <t xml:space="preserve">       </t>
  </si>
  <si>
    <t>SEGMENTO A</t>
  </si>
  <si>
    <t>SEGMENTO B</t>
  </si>
  <si>
    <t>SEGMENTO C</t>
  </si>
  <si>
    <t>SEGMENTO D</t>
  </si>
  <si>
    <t>A</t>
  </si>
  <si>
    <t>B</t>
  </si>
  <si>
    <t>C</t>
  </si>
  <si>
    <t>D</t>
  </si>
  <si>
    <t>Média do Segmento</t>
  </si>
  <si>
    <t># de CD com doença:</t>
  </si>
  <si>
    <t>copiar da planilha de campo</t>
  </si>
  <si>
    <t># of CD com branqueamento:</t>
  </si>
  <si>
    <t>% de CD com doença:</t>
  </si>
  <si>
    <t>% de CD com branqueamento:</t>
  </si>
  <si>
    <t>% of CRM:</t>
  </si>
  <si>
    <t>Se a média de CRM &gt; 10%, a causa primária é:</t>
  </si>
  <si>
    <t>Comentários:</t>
  </si>
  <si>
    <t>Reef Check Brasil Sumário de Dados</t>
  </si>
  <si>
    <t>Total A</t>
  </si>
  <si>
    <t>Total B</t>
  </si>
  <si>
    <t>Total C</t>
  </si>
  <si>
    <t>Total D</t>
  </si>
  <si>
    <t>Grande total</t>
  </si>
  <si>
    <t>Média</t>
  </si>
  <si>
    <t>Média % por segmento</t>
  </si>
  <si>
    <t>DP</t>
  </si>
  <si>
    <t>% A</t>
  </si>
  <si>
    <t>% B</t>
  </si>
  <si>
    <t>% C</t>
  </si>
  <si>
    <t>% D</t>
  </si>
  <si>
    <t>ACA</t>
  </si>
  <si>
    <t>ACI</t>
  </si>
  <si>
    <t>AF</t>
  </si>
  <si>
    <t>NIA</t>
  </si>
  <si>
    <t>#</t>
  </si>
  <si>
    <t>TOTAIS DEVEM SER = 40 PARA CADA SEGMENTO</t>
  </si>
  <si>
    <t>PROSSEGUIR PARA PLANILHA GRÁFICOS</t>
  </si>
  <si>
    <t>Gráficos do Reef Check Brasil</t>
  </si>
  <si>
    <t>Dados do Reef Check Brasil</t>
  </si>
  <si>
    <t>Classes substrato</t>
  </si>
  <si>
    <t>EP</t>
  </si>
  <si>
    <t>Conferir o Total = 100%</t>
  </si>
  <si>
    <t>Cobertura viva de recife</t>
  </si>
  <si>
    <t>Cobertura não viva de recife</t>
  </si>
  <si>
    <t>novo registro</t>
  </si>
  <si>
    <t>não identificada</t>
  </si>
  <si>
    <t>alga calcária articulada</t>
  </si>
  <si>
    <t xml:space="preserve">Algas </t>
  </si>
  <si>
    <t xml:space="preserve">Coral duro   </t>
  </si>
  <si>
    <t xml:space="preserve">Outros   </t>
  </si>
  <si>
    <t>Agaricia fragilis</t>
  </si>
  <si>
    <t>alga calcária incrustante</t>
  </si>
  <si>
    <t xml:space="preserve">Hidrocorais </t>
  </si>
  <si>
    <t>Millepora alcicornis</t>
  </si>
  <si>
    <t>Mussismilia braziliensis</t>
  </si>
  <si>
    <t>Agaricia humilis</t>
  </si>
  <si>
    <t>alga folhosa</t>
  </si>
  <si>
    <t>Millepora braziliensis</t>
  </si>
  <si>
    <t>Mussismilia harttii</t>
  </si>
  <si>
    <t>Ascídia</t>
  </si>
  <si>
    <t>alga indicadora de nutriente</t>
  </si>
  <si>
    <t>Classes indicadores substrato</t>
  </si>
  <si>
    <t>Millepora nitida</t>
  </si>
  <si>
    <t>Mussismilia hispida</t>
  </si>
  <si>
    <t>areia</t>
  </si>
  <si>
    <t xml:space="preserve">ACA  </t>
  </si>
  <si>
    <t>Saúde (corais)</t>
  </si>
  <si>
    <t>Stylaster roseus</t>
  </si>
  <si>
    <t>Mussismilia hispida tenuisepta</t>
  </si>
  <si>
    <t>ACA + cianofícias</t>
  </si>
  <si>
    <t xml:space="preserve">ACI  </t>
  </si>
  <si>
    <t xml:space="preserve">CRM  </t>
  </si>
  <si>
    <t xml:space="preserve">Coral mole </t>
  </si>
  <si>
    <t>Anêmona</t>
  </si>
  <si>
    <t xml:space="preserve">AF  </t>
  </si>
  <si>
    <t xml:space="preserve">CM  </t>
  </si>
  <si>
    <t>Doente</t>
  </si>
  <si>
    <t>Palythoa caribaeorum</t>
  </si>
  <si>
    <t>Porites astreoides</t>
  </si>
  <si>
    <t>coral duro</t>
  </si>
  <si>
    <t xml:space="preserve">NIA  </t>
  </si>
  <si>
    <t xml:space="preserve">CD  </t>
  </si>
  <si>
    <t>Zoanthus pulchellus</t>
  </si>
  <si>
    <t>Porites branneri</t>
  </si>
  <si>
    <t>Carijoa riisei</t>
  </si>
  <si>
    <t xml:space="preserve">                 </t>
  </si>
  <si>
    <t>Zoanthus sociatus</t>
  </si>
  <si>
    <t xml:space="preserve">SP  </t>
  </si>
  <si>
    <t xml:space="preserve">AR  </t>
  </si>
  <si>
    <t>Sem registro</t>
  </si>
  <si>
    <t>Zoanthus solanderi</t>
  </si>
  <si>
    <t>Favia gravida</t>
  </si>
  <si>
    <t>Scolymia wellsi</t>
  </si>
  <si>
    <t>Condylactis gigantea</t>
  </si>
  <si>
    <t xml:space="preserve">RC  </t>
  </si>
  <si>
    <t xml:space="preserve">AG  </t>
  </si>
  <si>
    <t>Favia leptophylla</t>
  </si>
  <si>
    <t>Echinometra lucunter</t>
  </si>
  <si>
    <t xml:space="preserve">CC  </t>
  </si>
  <si>
    <t xml:space="preserve">OT  </t>
  </si>
  <si>
    <t>Madracis decactis</t>
  </si>
  <si>
    <t>rocha</t>
  </si>
  <si>
    <t>Neospongodes atlantica</t>
  </si>
  <si>
    <t>Meandrina braziliensis</t>
  </si>
  <si>
    <t>Gorgônia</t>
  </si>
  <si>
    <t>Distância</t>
  </si>
  <si>
    <t>Abreviatura</t>
  </si>
  <si>
    <t>Classe indicador</t>
  </si>
  <si>
    <t>Espécie</t>
  </si>
  <si>
    <t>Saúde</t>
  </si>
  <si>
    <t>Muriceopsis sulphurea</t>
  </si>
  <si>
    <t>Octopus vulgaris</t>
  </si>
  <si>
    <t>Phyllogorgia dilatata</t>
  </si>
  <si>
    <t>Plexaurella regia</t>
  </si>
  <si>
    <t>Observações:</t>
  </si>
  <si>
    <t>alga filamentosa</t>
  </si>
  <si>
    <t>Cianobacteria</t>
  </si>
  <si>
    <r>
      <t xml:space="preserve">Ouriço comum </t>
    </r>
    <r>
      <rPr>
        <i/>
        <sz val="10"/>
        <rFont val="Arial"/>
        <family val="2"/>
      </rPr>
      <t>Echinometra lucunter</t>
    </r>
  </si>
  <si>
    <r>
      <t xml:space="preserve">Ouriço branco </t>
    </r>
    <r>
      <rPr>
        <i/>
        <sz val="10"/>
        <rFont val="Arial"/>
        <family val="2"/>
      </rPr>
      <t>Tripneustes ventricosus</t>
    </r>
  </si>
  <si>
    <t>Tripneustes ventricosus</t>
  </si>
  <si>
    <r>
      <t xml:space="preserve">Ouriço diadema </t>
    </r>
    <r>
      <rPr>
        <i/>
        <sz val="10"/>
        <rFont val="Arial"/>
        <family val="2"/>
      </rPr>
      <t>Diadema antillarum</t>
    </r>
  </si>
  <si>
    <t>Diadema antillarum</t>
  </si>
  <si>
    <r>
      <t xml:space="preserve">Ouriço satélite </t>
    </r>
    <r>
      <rPr>
        <i/>
        <sz val="10"/>
        <rFont val="Arial"/>
        <family val="2"/>
      </rPr>
      <t>Eucidaris tribuloides</t>
    </r>
  </si>
  <si>
    <t>Eucidaris tribuloides</t>
  </si>
  <si>
    <t>Ouriço</t>
  </si>
  <si>
    <t>Branqueada</t>
  </si>
  <si>
    <t>Pálida</t>
  </si>
  <si>
    <t>Sadia</t>
  </si>
  <si>
    <t>Branqueada e doente</t>
  </si>
  <si>
    <t>Pálida e doente</t>
  </si>
  <si>
    <t>Stephanocoenia michelini</t>
  </si>
  <si>
    <t>TURF</t>
  </si>
  <si>
    <t>Horário (inicial e final):</t>
  </si>
  <si>
    <t>algas turf</t>
  </si>
  <si>
    <t>Montastraea cavernosa</t>
  </si>
  <si>
    <t>Escleractíneos</t>
  </si>
  <si>
    <r>
      <t xml:space="preserve">alga filamentosa, cianobactérias, </t>
    </r>
    <r>
      <rPr>
        <i/>
        <sz val="10"/>
        <rFont val="Arial"/>
        <family val="2"/>
      </rPr>
      <t>Chaetomorpha</t>
    </r>
    <r>
      <rPr>
        <sz val="10"/>
        <rFont val="Arial"/>
        <family val="2"/>
      </rPr>
      <t xml:space="preserve"> sp, </t>
    </r>
    <r>
      <rPr>
        <i/>
        <sz val="10"/>
        <rFont val="Arial"/>
        <family val="2"/>
      </rPr>
      <t>Ulva</t>
    </r>
    <r>
      <rPr>
        <sz val="10"/>
        <rFont val="Arial"/>
        <family val="2"/>
      </rPr>
      <t xml:space="preserve"> sp</t>
    </r>
  </si>
  <si>
    <r>
      <t xml:space="preserve">Millepora </t>
    </r>
    <r>
      <rPr>
        <sz val="10"/>
        <color rgb="FF000000"/>
        <rFont val="Arial"/>
        <family val="2"/>
      </rPr>
      <t>sp</t>
    </r>
  </si>
  <si>
    <r>
      <t>Agaricia</t>
    </r>
    <r>
      <rPr>
        <sz val="10"/>
        <color theme="0"/>
        <rFont val="Arial"/>
        <family val="2"/>
      </rPr>
      <t xml:space="preserve"> sp</t>
    </r>
  </si>
  <si>
    <r>
      <rPr>
        <i/>
        <sz val="10"/>
        <color theme="0"/>
        <rFont val="Arial"/>
        <family val="2"/>
      </rPr>
      <t>Caulerpa</t>
    </r>
    <r>
      <rPr>
        <sz val="10"/>
        <color theme="0"/>
        <rFont val="Arial"/>
        <family val="2"/>
      </rPr>
      <t xml:space="preserve"> sp</t>
    </r>
  </si>
  <si>
    <r>
      <t xml:space="preserve">Halimeda </t>
    </r>
    <r>
      <rPr>
        <sz val="10"/>
        <color theme="0"/>
        <rFont val="Arial"/>
        <family val="2"/>
      </rPr>
      <t>sp</t>
    </r>
  </si>
  <si>
    <r>
      <t xml:space="preserve">Lebrunia </t>
    </r>
    <r>
      <rPr>
        <sz val="10"/>
        <color theme="0"/>
        <rFont val="Arial"/>
        <family val="2"/>
      </rPr>
      <t>sp</t>
    </r>
  </si>
  <si>
    <r>
      <t xml:space="preserve">Lytechinus </t>
    </r>
    <r>
      <rPr>
        <sz val="10"/>
        <color theme="0"/>
        <rFont val="Arial"/>
        <family val="2"/>
      </rPr>
      <t>sp</t>
    </r>
  </si>
  <si>
    <r>
      <t xml:space="preserve">Millepora </t>
    </r>
    <r>
      <rPr>
        <sz val="10"/>
        <color theme="0"/>
        <rFont val="Arial"/>
        <family val="2"/>
      </rPr>
      <t>sp</t>
    </r>
  </si>
  <si>
    <r>
      <rPr>
        <i/>
        <sz val="10"/>
        <color theme="0"/>
        <rFont val="Arial"/>
        <family val="2"/>
      </rPr>
      <t>Padina</t>
    </r>
    <r>
      <rPr>
        <sz val="10"/>
        <color theme="0"/>
        <rFont val="Arial"/>
        <family val="2"/>
      </rPr>
      <t xml:space="preserve"> sp</t>
    </r>
  </si>
  <si>
    <r>
      <t xml:space="preserve">Porites </t>
    </r>
    <r>
      <rPr>
        <sz val="10"/>
        <color theme="0"/>
        <rFont val="Arial"/>
        <family val="2"/>
      </rPr>
      <t>sp</t>
    </r>
  </si>
  <si>
    <r>
      <rPr>
        <i/>
        <sz val="10"/>
        <color theme="0"/>
        <rFont val="Arial"/>
        <family val="2"/>
      </rPr>
      <t>Sargassum</t>
    </r>
    <r>
      <rPr>
        <sz val="10"/>
        <color theme="0"/>
        <rFont val="Arial"/>
        <family val="2"/>
      </rPr>
      <t xml:space="preserve"> sp</t>
    </r>
  </si>
  <si>
    <r>
      <t xml:space="preserve">Zoanthus </t>
    </r>
    <r>
      <rPr>
        <sz val="10"/>
        <color theme="0"/>
        <rFont val="Arial"/>
        <family val="2"/>
      </rPr>
      <t>sp</t>
    </r>
  </si>
  <si>
    <t>Zoanthus pulchellus, Zoanthus sociatus</t>
  </si>
  <si>
    <r>
      <t>Muriceopsis sulphurea, Muriceopsis</t>
    </r>
    <r>
      <rPr>
        <sz val="10"/>
        <color rgb="FF000000"/>
        <rFont val="Arial"/>
        <family val="2"/>
      </rPr>
      <t xml:space="preserve"> sp</t>
    </r>
    <r>
      <rPr>
        <i/>
        <sz val="10"/>
        <color rgb="FF000000"/>
        <rFont val="Arial"/>
        <family val="2"/>
      </rPr>
      <t>, Phyllogorgia dilatata, Plexaurella dichotoma, Plexaurella grandiflora, Pleuxaurella regia, Pleuxaurella</t>
    </r>
    <r>
      <rPr>
        <sz val="10"/>
        <color rgb="FF000000"/>
        <rFont val="Arial"/>
        <family val="2"/>
      </rPr>
      <t xml:space="preserve"> sp</t>
    </r>
  </si>
  <si>
    <r>
      <t xml:space="preserve">Zoanthus solander, Zoanthus </t>
    </r>
    <r>
      <rPr>
        <sz val="10"/>
        <rFont val="Arial"/>
        <family val="2"/>
      </rPr>
      <t>sp</t>
    </r>
  </si>
  <si>
    <r>
      <t xml:space="preserve">Ouriço roxo </t>
    </r>
    <r>
      <rPr>
        <i/>
        <sz val="10"/>
        <rFont val="Arial"/>
        <family val="2"/>
      </rPr>
      <t xml:space="preserve">Lytechinus </t>
    </r>
    <r>
      <rPr>
        <sz val="10"/>
        <rFont val="Arial"/>
        <family val="2"/>
      </rPr>
      <t>sp</t>
    </r>
  </si>
  <si>
    <t>Bellactis ilkalyseae, Condylactis gigantea</t>
  </si>
  <si>
    <r>
      <t xml:space="preserve">Agaricia </t>
    </r>
    <r>
      <rPr>
        <sz val="10"/>
        <rFont val="Arial"/>
        <family val="2"/>
      </rPr>
      <t>sp</t>
    </r>
  </si>
  <si>
    <r>
      <t xml:space="preserve">Porites </t>
    </r>
    <r>
      <rPr>
        <sz val="10"/>
        <color rgb="FF000000"/>
        <rFont val="Arial"/>
        <family val="2"/>
      </rPr>
      <t>sp</t>
    </r>
  </si>
  <si>
    <r>
      <t xml:space="preserve">Siderastrea </t>
    </r>
    <r>
      <rPr>
        <sz val="10"/>
        <color rgb="FF000000"/>
        <rFont val="Arial"/>
        <family val="2"/>
      </rPr>
      <t>sp</t>
    </r>
  </si>
  <si>
    <r>
      <rPr>
        <sz val="11"/>
        <color rgb="FF000000"/>
        <rFont val="Arial"/>
        <family val="2"/>
      </rPr>
      <t>Octocoral</t>
    </r>
    <r>
      <rPr>
        <sz val="10"/>
        <color rgb="FF000000"/>
        <rFont val="Arial"/>
        <family val="2"/>
      </rPr>
      <t xml:space="preserve"> </t>
    </r>
    <r>
      <rPr>
        <i/>
        <sz val="10"/>
        <color rgb="FF000000"/>
        <rFont val="Arial"/>
        <family val="2"/>
      </rPr>
      <t>Carijoa riisei, Neospongodes atlantica</t>
    </r>
  </si>
  <si>
    <r>
      <rPr>
        <sz val="10"/>
        <rFont val="Arial"/>
        <family val="2"/>
      </rPr>
      <t>alga calcária articulada,</t>
    </r>
    <r>
      <rPr>
        <i/>
        <sz val="10"/>
        <rFont val="Arial"/>
        <family val="2"/>
      </rPr>
      <t xml:space="preserve"> Amphiroa </t>
    </r>
    <r>
      <rPr>
        <sz val="10"/>
        <rFont val="Arial"/>
        <family val="2"/>
      </rPr>
      <t xml:space="preserve">sp, </t>
    </r>
    <r>
      <rPr>
        <i/>
        <sz val="10"/>
        <rFont val="Arial"/>
        <family val="2"/>
      </rPr>
      <t xml:space="preserve">Jania </t>
    </r>
    <r>
      <rPr>
        <sz val="10"/>
        <rFont val="Arial"/>
        <family val="2"/>
      </rPr>
      <t xml:space="preserve">sp,
</t>
    </r>
    <r>
      <rPr>
        <i/>
        <sz val="10"/>
        <rFont val="Arial"/>
        <family val="2"/>
      </rPr>
      <t xml:space="preserve">Halimeda </t>
    </r>
    <r>
      <rPr>
        <sz val="10"/>
        <rFont val="Arial"/>
        <family val="2"/>
      </rPr>
      <t>sp,  ACA+cianofícia</t>
    </r>
  </si>
  <si>
    <r>
      <t xml:space="preserve">Caulerpa </t>
    </r>
    <r>
      <rPr>
        <sz val="10"/>
        <rFont val="Arial"/>
        <family val="2"/>
      </rPr>
      <t xml:space="preserve">sp, </t>
    </r>
    <r>
      <rPr>
        <i/>
        <sz val="10"/>
        <rFont val="Arial"/>
        <family val="2"/>
      </rPr>
      <t>Dictyopteris</t>
    </r>
    <r>
      <rPr>
        <sz val="10"/>
        <rFont val="Arial"/>
        <family val="2"/>
      </rPr>
      <t xml:space="preserve"> sp</t>
    </r>
    <r>
      <rPr>
        <i/>
        <sz val="10"/>
        <rFont val="Arial"/>
        <family val="2"/>
      </rPr>
      <t xml:space="preserve">, 
Dictyota </t>
    </r>
    <r>
      <rPr>
        <sz val="10"/>
        <rFont val="Arial"/>
        <family val="2"/>
      </rPr>
      <t>sp</t>
    </r>
    <r>
      <rPr>
        <i/>
        <sz val="10"/>
        <rFont val="Arial"/>
        <family val="2"/>
      </rPr>
      <t>, Padina</t>
    </r>
    <r>
      <rPr>
        <sz val="10"/>
        <rFont val="Arial"/>
        <family val="2"/>
      </rPr>
      <t xml:space="preserve"> sp, </t>
    </r>
    <r>
      <rPr>
        <i/>
        <sz val="10"/>
        <rFont val="Arial"/>
        <family val="2"/>
      </rPr>
      <t>Sargassum</t>
    </r>
    <r>
      <rPr>
        <sz val="10"/>
        <rFont val="Arial"/>
        <family val="2"/>
      </rPr>
      <t xml:space="preserve"> sp</t>
    </r>
  </si>
  <si>
    <t>Palythoa caribaeorum, Palythoa grandiflora</t>
  </si>
  <si>
    <t>Palythoa grandiflora</t>
  </si>
  <si>
    <t># de CD com branqueamento:</t>
  </si>
  <si>
    <t>Amphiroa sp</t>
  </si>
  <si>
    <t>Dictyopteris sp</t>
  </si>
  <si>
    <t>Dictyota sp</t>
  </si>
  <si>
    <t>Jania sp</t>
  </si>
  <si>
    <t>Ulva sp</t>
  </si>
  <si>
    <t>Chaetomorpha sp</t>
  </si>
  <si>
    <t>Para que os dados coletados por uma equipe sejam incorporados ao banco de dados do Reef Check Brasil, e sejam utilizados em relatórios e publicações sobre o estado dos ambientes recifais na costa brasileira, foram adaptadas planilhas excel para os diferentes tipos de indicadores amostrados pelo Reef Check Brasil</t>
  </si>
  <si>
    <r>
      <t xml:space="preserve">1. Ao inserir os dados, os gráficos são produzidos em simultâneo e automaticamente na folha  </t>
    </r>
    <r>
      <rPr>
        <b/>
        <u/>
        <sz val="12"/>
        <rFont val="Arial"/>
        <family val="2"/>
      </rPr>
      <t>GRÁFICOS</t>
    </r>
    <r>
      <rPr>
        <sz val="12"/>
        <rFont val="Arial"/>
        <family val="2"/>
      </rPr>
      <t>.</t>
    </r>
  </si>
  <si>
    <r>
      <t xml:space="preserve">COMPLETE O TÍTULO DOS GRÁFICOS ONDE ESTÁ INDICADO A </t>
    </r>
    <r>
      <rPr>
        <sz val="10"/>
        <color indexed="48"/>
        <rFont val="Arial"/>
        <family val="2"/>
      </rPr>
      <t>AZUL</t>
    </r>
    <r>
      <rPr>
        <sz val="10"/>
        <color indexed="10"/>
        <rFont val="Arial"/>
        <family val="2"/>
      </rPr>
      <t xml:space="preserve">. PARA ALTERAR O TEXTO PARA PRETO, SELECIONE O TEXTO, CLIQUE NA OPÇÃO </t>
    </r>
    <r>
      <rPr>
        <i/>
        <sz val="10"/>
        <color indexed="10"/>
        <rFont val="Arial"/>
        <family val="2"/>
      </rPr>
      <t>COR DE FONTE</t>
    </r>
    <r>
      <rPr>
        <sz val="10"/>
        <color indexed="10"/>
        <rFont val="Arial"/>
        <family val="2"/>
      </rPr>
      <t xml:space="preserve"> NA BARRA DE FERRAMENTAS </t>
    </r>
    <r>
      <rPr>
        <b/>
        <sz val="10"/>
        <color indexed="10"/>
        <rFont val="Arial"/>
        <family val="2"/>
      </rPr>
      <t>FORMATAR</t>
    </r>
    <r>
      <rPr>
        <sz val="10"/>
        <color indexed="10"/>
        <rFont val="Arial"/>
        <family val="2"/>
      </rPr>
      <t xml:space="preserve"> E SELECIONE PRETO.  </t>
    </r>
  </si>
  <si>
    <t>1. Primeiro nomeie a planilha utilizando o formato padrão:</t>
  </si>
  <si>
    <t xml:space="preserve">Outra medida útil para ajudar a interpretar os dados é o desvio padrão (DP), calculada na folha SUMÁRIO. O DP mostra a amplitude da distribuição das observações em redor da média, ou quão variável as nossas amostras são. No entanto, o desvio padrão não indica a exatidão com que a média da amostra estima a média da população. </t>
  </si>
  <si>
    <t>3. A página estará pronta para imprimir, e os gráficos desejados poderão ser selecionados e copiados em um documento Word.</t>
  </si>
  <si>
    <r>
      <t xml:space="preserve">2. Somente deverá ser preenchido o nome do sítio monitorado, a data e a profundidade dos transectos substituindo as palavras em </t>
    </r>
    <r>
      <rPr>
        <sz val="12"/>
        <color indexed="12"/>
        <rFont val="Arial"/>
        <family val="2"/>
      </rPr>
      <t xml:space="preserve">azul </t>
    </r>
    <r>
      <rPr>
        <sz val="12"/>
        <rFont val="Arial"/>
        <family val="2"/>
      </rPr>
      <t>no título do gráfico. Depois o texto deverá ser alterado para preto selecionando o botão de cor de texto na barra de ferramentas da fonte.</t>
    </r>
  </si>
  <si>
    <r>
      <t>Nome do sítio, data (dd-mm-aa) e tipo de censo (</t>
    </r>
    <r>
      <rPr>
        <b/>
        <sz val="12"/>
        <rFont val="Arial"/>
        <family val="2"/>
      </rPr>
      <t>sítio</t>
    </r>
    <r>
      <rPr>
        <sz val="12"/>
        <rFont val="Arial"/>
        <family val="2"/>
      </rPr>
      <t xml:space="preserve">, peixes e invertebrados = </t>
    </r>
    <r>
      <rPr>
        <b/>
        <sz val="12"/>
        <rFont val="Arial"/>
        <family val="2"/>
      </rPr>
      <t>faixa</t>
    </r>
    <r>
      <rPr>
        <sz val="12"/>
        <rFont val="Arial"/>
        <family val="2"/>
      </rPr>
      <t xml:space="preserve">, substrato = </t>
    </r>
    <r>
      <rPr>
        <b/>
        <sz val="12"/>
        <rFont val="Arial"/>
        <family val="2"/>
      </rPr>
      <t>PIT</t>
    </r>
    <r>
      <rPr>
        <sz val="12"/>
        <rFont val="Arial"/>
        <family val="2"/>
      </rPr>
      <t>, e</t>
    </r>
    <r>
      <rPr>
        <b/>
        <sz val="12"/>
        <rFont val="Arial"/>
        <family val="2"/>
      </rPr>
      <t xml:space="preserve"> corais</t>
    </r>
    <r>
      <rPr>
        <sz val="12"/>
        <rFont val="Arial"/>
        <family val="2"/>
      </rPr>
      <t xml:space="preserve">). A planilha de substrato deverá apenas conter o nome do sítio, a data (dd-mm-aa) e terminar com a palavra </t>
    </r>
    <r>
      <rPr>
        <b/>
        <sz val="12"/>
        <rFont val="Arial"/>
        <family val="2"/>
      </rPr>
      <t>PIT</t>
    </r>
    <r>
      <rPr>
        <sz val="12"/>
        <rFont val="Arial"/>
        <family val="2"/>
      </rPr>
      <t>.</t>
    </r>
  </si>
  <si>
    <r>
      <t>2. Os dados deverão ser inseridos nas caixas em branco e, para facilitar a sua entrada, foram criadas listas de categorias, espécies e saúde dos corais, nas quais é apenas necessário selecionar a opção desejada. Novas ocorrências deverão ser preenchidas como</t>
    </r>
    <r>
      <rPr>
        <b/>
        <i/>
        <sz val="12"/>
        <rFont val="Arial"/>
        <family val="2"/>
      </rPr>
      <t xml:space="preserve"> “novo registro”</t>
    </r>
    <r>
      <rPr>
        <sz val="12"/>
        <rFont val="Arial"/>
        <family val="2"/>
      </rPr>
      <t xml:space="preserve"> e mencionadas no campo </t>
    </r>
    <r>
      <rPr>
        <i/>
        <sz val="12"/>
        <rFont val="Arial"/>
        <family val="2"/>
      </rPr>
      <t>Observações</t>
    </r>
    <r>
      <rPr>
        <sz val="12"/>
        <rFont val="Arial"/>
        <family val="2"/>
      </rPr>
      <t xml:space="preserve"> ao final da folha.</t>
    </r>
  </si>
  <si>
    <t>PREENCHA OS ESPAÇOS EM BRANCO</t>
  </si>
  <si>
    <r>
      <t>Em caso de ser registrada uma espécie não descrita aqui, selecione como "</t>
    </r>
    <r>
      <rPr>
        <b/>
        <i/>
        <sz val="11"/>
        <color rgb="FFFF0000"/>
        <rFont val="Arial"/>
        <family val="2"/>
      </rPr>
      <t>novo registro</t>
    </r>
    <r>
      <rPr>
        <b/>
        <sz val="11"/>
        <color rgb="FFFF0000"/>
        <rFont val="Arial"/>
        <family val="2"/>
      </rPr>
      <t xml:space="preserve">" e adicione o nome em </t>
    </r>
    <r>
      <rPr>
        <b/>
        <i/>
        <sz val="11"/>
        <color rgb="FFFF0000"/>
        <rFont val="Arial"/>
        <family val="2"/>
      </rPr>
      <t>Observações</t>
    </r>
    <r>
      <rPr>
        <b/>
        <sz val="11"/>
        <color rgb="FFFF0000"/>
        <rFont val="Arial"/>
        <family val="2"/>
      </rPr>
      <t>.</t>
    </r>
  </si>
  <si>
    <r>
      <t xml:space="preserve">Em caso de identificar apenas a classe do indicador, preencha a coluna </t>
    </r>
    <r>
      <rPr>
        <b/>
        <i/>
        <sz val="11"/>
        <color rgb="FFFF0000"/>
        <rFont val="Arial"/>
        <family val="2"/>
      </rPr>
      <t>Espécie</t>
    </r>
    <r>
      <rPr>
        <b/>
        <sz val="11"/>
        <color rgb="FFFF0000"/>
        <rFont val="Arial"/>
        <family val="2"/>
      </rPr>
      <t xml:space="preserve"> como "</t>
    </r>
    <r>
      <rPr>
        <b/>
        <i/>
        <sz val="11"/>
        <color rgb="FFFF0000"/>
        <rFont val="Arial"/>
        <family val="2"/>
      </rPr>
      <t>não identificada</t>
    </r>
    <r>
      <rPr>
        <b/>
        <sz val="11"/>
        <color rgb="FFFF0000"/>
        <rFont val="Arial"/>
        <family val="2"/>
      </rPr>
      <t>".</t>
    </r>
  </si>
  <si>
    <t>3. Para cada transecto, verifique (na LINHA 64 da folha SUMÁRIO) se o total da coluna é igual a 40. Se a soma for menor que 40, confira na folha DADOS ESPÉCIES se há alguma célula em branco e confirme se todos os dados foram entrados corretamente.</t>
  </si>
  <si>
    <t>Turf ACA</t>
  </si>
  <si>
    <t>Turf AF</t>
  </si>
  <si>
    <t>Tapete multiespecífico algas calcárias articuladas (ACA)/folhosas (turf AF)/filamentosas (turf AFil)</t>
  </si>
  <si>
    <t>Turf AFil</t>
  </si>
  <si>
    <r>
      <t xml:space="preserve">Siderastrea </t>
    </r>
    <r>
      <rPr>
        <sz val="10"/>
        <color theme="0"/>
        <rFont val="Arial"/>
        <family val="2"/>
      </rPr>
      <t>sp</t>
    </r>
  </si>
  <si>
    <r>
      <t xml:space="preserve">1. Insira os dados de substrato, registrados durante os censos, nas células em branco da folha DADOS ESPÉCIES.  Para cada transecto (A, B, C e D) deverão ser preenchidas as colunas </t>
    </r>
    <r>
      <rPr>
        <i/>
        <sz val="12"/>
        <rFont val="Arial"/>
        <family val="2"/>
      </rPr>
      <t>Classe Indicador</t>
    </r>
    <r>
      <rPr>
        <sz val="12"/>
        <rFont val="Arial"/>
        <family val="2"/>
      </rPr>
      <t xml:space="preserve">, </t>
    </r>
    <r>
      <rPr>
        <i/>
        <sz val="12"/>
        <rFont val="Arial"/>
        <family val="2"/>
      </rPr>
      <t>Espécie</t>
    </r>
    <r>
      <rPr>
        <sz val="12"/>
        <rFont val="Arial"/>
        <family val="2"/>
      </rPr>
      <t xml:space="preserve"> e </t>
    </r>
    <r>
      <rPr>
        <i/>
        <sz val="12"/>
        <rFont val="Arial"/>
        <family val="2"/>
      </rPr>
      <t>Saúde</t>
    </r>
    <r>
      <rPr>
        <sz val="12"/>
        <rFont val="Arial"/>
        <family val="2"/>
      </rPr>
      <t xml:space="preserve">. Nestes campos deverão ser inseridas as classes de substrato, as espécies identificadas de coral e outros organismos registrados, e ainda a saúde dos corais duros. No caso de substrato não vivo (areia, argila, cascalho e rocha) preencher o campo </t>
    </r>
    <r>
      <rPr>
        <i/>
        <sz val="12"/>
        <rFont val="Arial"/>
        <family val="2"/>
      </rPr>
      <t>Espécie</t>
    </r>
    <r>
      <rPr>
        <sz val="12"/>
        <rFont val="Arial"/>
        <family val="2"/>
      </rPr>
      <t xml:space="preserve"> com </t>
    </r>
    <r>
      <rPr>
        <b/>
        <sz val="12"/>
        <rFont val="Arial"/>
        <family val="2"/>
      </rPr>
      <t>"sem espécie".</t>
    </r>
  </si>
  <si>
    <t>sem espécie</t>
  </si>
  <si>
    <r>
      <t xml:space="preserve">Polvo </t>
    </r>
    <r>
      <rPr>
        <i/>
        <sz val="10"/>
        <rFont val="Arial"/>
        <family val="2"/>
      </rPr>
      <t>Octopus insularis, Octopus vulgaris</t>
    </r>
  </si>
  <si>
    <t>Esponja     não identificada</t>
  </si>
  <si>
    <t>Muriceopsis sp</t>
  </si>
  <si>
    <t>Plexaurella dichotoma</t>
  </si>
  <si>
    <t>Plexaurella grandiflora</t>
  </si>
  <si>
    <t>Plexaurella sp</t>
  </si>
  <si>
    <t>Octopus insularis</t>
  </si>
  <si>
    <t>Fábio Negrão</t>
  </si>
  <si>
    <t>sadia</t>
  </si>
  <si>
    <t>siderastrea sp</t>
  </si>
  <si>
    <t>favia gravida</t>
  </si>
  <si>
    <t>Recife de Fora</t>
  </si>
  <si>
    <t>mussismilia hispida</t>
  </si>
  <si>
    <t>agaricia humilis</t>
  </si>
  <si>
    <t>palythoa caribaeorum</t>
  </si>
  <si>
    <t>Flávia Guebert</t>
  </si>
  <si>
    <t>09:00-10:15</t>
  </si>
  <si>
    <t>muriceopsis sulphurea</t>
  </si>
  <si>
    <t>millepora nitida</t>
  </si>
  <si>
    <t>millepora alcicornis</t>
  </si>
  <si>
    <t>mussismilia braziliensis</t>
  </si>
  <si>
    <t>mussismilia harttii</t>
  </si>
  <si>
    <t xml:space="preserve">millepora nitida </t>
  </si>
  <si>
    <t>porites astreoides</t>
  </si>
  <si>
    <t>Taquaruçu</t>
  </si>
</sst>
</file>

<file path=xl/styles.xml><?xml version="1.0" encoding="utf-8"?>
<styleSheet xmlns="http://schemas.openxmlformats.org/spreadsheetml/2006/main" xmlns:mc="http://schemas.openxmlformats.org/markup-compatibility/2006" xmlns:x14ac="http://schemas.microsoft.com/office/spreadsheetml/2009/9/ac" mc:Ignorable="x14ac">
  <fonts count="56" x14ac:knownFonts="1">
    <font>
      <sz val="11"/>
      <color theme="1"/>
      <name val="Calibri"/>
      <family val="2"/>
      <scheme val="minor"/>
    </font>
    <font>
      <sz val="11"/>
      <color rgb="FF3F3F76"/>
      <name val="Calibri"/>
      <family val="2"/>
      <scheme val="minor"/>
    </font>
    <font>
      <sz val="10"/>
      <name val="Arial"/>
      <family val="2"/>
    </font>
    <font>
      <sz val="12"/>
      <name val="Arial"/>
      <family val="2"/>
    </font>
    <font>
      <u/>
      <sz val="12"/>
      <color rgb="FFFF0000"/>
      <name val="Arial"/>
      <family val="2"/>
    </font>
    <font>
      <u/>
      <sz val="12"/>
      <color indexed="10"/>
      <name val="Arial"/>
      <family val="2"/>
    </font>
    <font>
      <b/>
      <u/>
      <sz val="12"/>
      <name val="Arial"/>
      <family val="2"/>
    </font>
    <font>
      <sz val="12"/>
      <color indexed="10"/>
      <name val="Arial"/>
      <family val="2"/>
    </font>
    <font>
      <u/>
      <sz val="10"/>
      <name val="Arial"/>
      <family val="2"/>
    </font>
    <font>
      <sz val="12"/>
      <color indexed="12"/>
      <name val="Arial"/>
      <family val="2"/>
    </font>
    <font>
      <b/>
      <sz val="12"/>
      <name val="Arial"/>
      <family val="2"/>
    </font>
    <font>
      <sz val="12"/>
      <color rgb="FFFF0000"/>
      <name val="Arial"/>
      <family val="2"/>
    </font>
    <font>
      <sz val="11"/>
      <name val="Arial"/>
      <family val="2"/>
    </font>
    <font>
      <b/>
      <sz val="10"/>
      <name val="Arial Narrow"/>
      <family val="2"/>
    </font>
    <font>
      <b/>
      <sz val="11"/>
      <color indexed="10"/>
      <name val="Arial"/>
      <family val="2"/>
    </font>
    <font>
      <b/>
      <sz val="11"/>
      <name val="Arial Narrow"/>
      <family val="2"/>
    </font>
    <font>
      <sz val="11"/>
      <name val="Arial Narrow"/>
      <family val="2"/>
    </font>
    <font>
      <b/>
      <sz val="11"/>
      <name val="Arial"/>
      <family val="2"/>
    </font>
    <font>
      <sz val="10"/>
      <name val="Arial Narrow"/>
      <family val="2"/>
    </font>
    <font>
      <b/>
      <sz val="10"/>
      <name val="Arial"/>
      <family val="2"/>
    </font>
    <font>
      <b/>
      <sz val="9"/>
      <name val="Arial"/>
      <family val="2"/>
    </font>
    <font>
      <b/>
      <sz val="12"/>
      <name val="Arial Narrow"/>
      <family val="2"/>
    </font>
    <font>
      <sz val="11"/>
      <color rgb="FFFF0000"/>
      <name val="Arial"/>
      <family val="2"/>
    </font>
    <font>
      <i/>
      <sz val="10"/>
      <name val="Arial"/>
      <family val="2"/>
    </font>
    <font>
      <b/>
      <sz val="11"/>
      <color rgb="FFFF0000"/>
      <name val="Arial Narrow"/>
      <family val="2"/>
    </font>
    <font>
      <b/>
      <sz val="10"/>
      <color rgb="FFFF0000"/>
      <name val="Arial Narrow"/>
      <family val="2"/>
    </font>
    <font>
      <b/>
      <sz val="12"/>
      <color rgb="FFFF0000"/>
      <name val="Arial Narrow"/>
      <family val="2"/>
    </font>
    <font>
      <sz val="11"/>
      <color rgb="FFFF0000"/>
      <name val="Arial Narrow"/>
      <family val="2"/>
    </font>
    <font>
      <b/>
      <sz val="11"/>
      <color rgb="FFFF0000"/>
      <name val="Arial"/>
      <family val="2"/>
    </font>
    <font>
      <sz val="10"/>
      <color rgb="FFFF0000"/>
      <name val="Arial"/>
      <family val="2"/>
    </font>
    <font>
      <b/>
      <u/>
      <sz val="11"/>
      <name val="Arial Narrow"/>
      <family val="2"/>
    </font>
    <font>
      <b/>
      <sz val="11"/>
      <color indexed="10"/>
      <name val="Arial Narrow"/>
      <family val="2"/>
    </font>
    <font>
      <b/>
      <sz val="10"/>
      <color indexed="10"/>
      <name val="Arial Narrow"/>
      <family val="2"/>
    </font>
    <font>
      <b/>
      <sz val="10"/>
      <color indexed="10"/>
      <name val="Arial"/>
      <family val="2"/>
    </font>
    <font>
      <sz val="10"/>
      <color rgb="FFFF0000"/>
      <name val="Arial Narrow"/>
      <family val="2"/>
    </font>
    <font>
      <b/>
      <sz val="12"/>
      <color indexed="10"/>
      <name val="Arial"/>
      <family val="2"/>
    </font>
    <font>
      <sz val="10"/>
      <color indexed="10"/>
      <name val="Arial"/>
      <family val="2"/>
    </font>
    <font>
      <sz val="10"/>
      <color indexed="48"/>
      <name val="Arial"/>
      <family val="2"/>
    </font>
    <font>
      <b/>
      <u/>
      <sz val="14"/>
      <name val="Arial Narrow"/>
      <family val="2"/>
    </font>
    <font>
      <b/>
      <u/>
      <sz val="14"/>
      <color indexed="10"/>
      <name val="Arial Narrow"/>
      <family val="2"/>
    </font>
    <font>
      <sz val="14"/>
      <name val="Arial Narrow"/>
      <family val="2"/>
    </font>
    <font>
      <b/>
      <u/>
      <sz val="12"/>
      <color indexed="48"/>
      <name val="Arial"/>
      <family val="2"/>
    </font>
    <font>
      <sz val="10"/>
      <color theme="0"/>
      <name val="Arial"/>
      <family val="2"/>
    </font>
    <font>
      <i/>
      <sz val="10"/>
      <color rgb="FF000000"/>
      <name val="Arial"/>
      <family val="2"/>
    </font>
    <font>
      <i/>
      <sz val="10"/>
      <color theme="0"/>
      <name val="Arial"/>
      <family val="2"/>
    </font>
    <font>
      <sz val="8"/>
      <color rgb="FF000000"/>
      <name val="Tahoma"/>
      <family val="2"/>
    </font>
    <font>
      <i/>
      <sz val="11"/>
      <color rgb="FF000000"/>
      <name val="Arial"/>
      <family val="2"/>
    </font>
    <font>
      <sz val="11"/>
      <color rgb="FF000000"/>
      <name val="Arial"/>
      <family val="2"/>
    </font>
    <font>
      <i/>
      <sz val="11"/>
      <name val="Arial"/>
      <family val="2"/>
    </font>
    <font>
      <sz val="10"/>
      <color rgb="FF000000"/>
      <name val="Arial"/>
      <family val="2"/>
    </font>
    <font>
      <i/>
      <sz val="10"/>
      <color indexed="10"/>
      <name val="Arial"/>
      <family val="2"/>
    </font>
    <font>
      <i/>
      <sz val="12"/>
      <name val="Arial"/>
      <family val="2"/>
    </font>
    <font>
      <b/>
      <i/>
      <sz val="12"/>
      <name val="Arial"/>
      <family val="2"/>
    </font>
    <font>
      <b/>
      <i/>
      <sz val="11"/>
      <color rgb="FFFF0000"/>
      <name val="Arial"/>
      <family val="2"/>
    </font>
    <font>
      <u/>
      <sz val="11"/>
      <color theme="10"/>
      <name val="Calibri"/>
      <family val="2"/>
      <scheme val="minor"/>
    </font>
    <font>
      <u/>
      <sz val="11"/>
      <color theme="11"/>
      <name val="Calibri"/>
      <family val="2"/>
      <scheme val="minor"/>
    </font>
  </fonts>
  <fills count="9">
    <fill>
      <patternFill patternType="none"/>
    </fill>
    <fill>
      <patternFill patternType="gray125"/>
    </fill>
    <fill>
      <patternFill patternType="solid">
        <fgColor rgb="FFFFCC99"/>
      </patternFill>
    </fill>
    <fill>
      <patternFill patternType="solid">
        <fgColor indexed="9"/>
        <bgColor indexed="64"/>
      </patternFill>
    </fill>
    <fill>
      <patternFill patternType="solid">
        <fgColor theme="0"/>
        <bgColor indexed="64"/>
      </patternFill>
    </fill>
    <fill>
      <patternFill patternType="solid">
        <fgColor rgb="FFFFFFFF"/>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rgb="FFFFFFFF"/>
        <bgColor rgb="FF000000"/>
      </patternFill>
    </fill>
  </fills>
  <borders count="40">
    <border>
      <left/>
      <right/>
      <top/>
      <bottom/>
      <diagonal/>
    </border>
    <border>
      <left style="thin">
        <color rgb="FF7F7F7F"/>
      </left>
      <right style="thin">
        <color rgb="FF7F7F7F"/>
      </right>
      <top style="thin">
        <color rgb="FF7F7F7F"/>
      </top>
      <bottom style="thin">
        <color rgb="FF7F7F7F"/>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thin">
        <color auto="1"/>
      </right>
      <top style="medium">
        <color auto="1"/>
      </top>
      <bottom style="thin">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top/>
      <bottom/>
      <diagonal/>
    </border>
    <border>
      <left/>
      <right style="medium">
        <color auto="1"/>
      </right>
      <top style="thin">
        <color auto="1"/>
      </top>
      <bottom style="thin">
        <color auto="1"/>
      </bottom>
      <diagonal/>
    </border>
  </borders>
  <cellStyleXfs count="18">
    <xf numFmtId="0" fontId="0" fillId="0" borderId="0"/>
    <xf numFmtId="0" fontId="1" fillId="2" borderId="1" applyNumberFormat="0" applyAlignment="0" applyProtection="0"/>
    <xf numFmtId="0" fontId="2" fillId="0" borderId="0"/>
    <xf numFmtId="9" fontId="2" fillId="0" borderId="0" applyFont="0" applyFill="0" applyBorder="0" applyAlignment="0" applyProtection="0"/>
    <xf numFmtId="0" fontId="54" fillId="0" borderId="0" applyNumberFormat="0" applyFill="0" applyBorder="0" applyAlignment="0" applyProtection="0"/>
    <xf numFmtId="0" fontId="55" fillId="0" borderId="0" applyNumberFormat="0" applyFill="0" applyBorder="0" applyAlignment="0" applyProtection="0"/>
    <xf numFmtId="0" fontId="54" fillId="0" borderId="0" applyNumberFormat="0" applyFill="0" applyBorder="0" applyAlignment="0" applyProtection="0"/>
    <xf numFmtId="0" fontId="55" fillId="0" borderId="0" applyNumberFormat="0" applyFill="0" applyBorder="0" applyAlignment="0" applyProtection="0"/>
    <xf numFmtId="0" fontId="54" fillId="0" borderId="0" applyNumberFormat="0" applyFill="0" applyBorder="0" applyAlignment="0" applyProtection="0"/>
    <xf numFmtId="0" fontId="55" fillId="0" borderId="0" applyNumberFormat="0" applyFill="0" applyBorder="0" applyAlignment="0" applyProtection="0"/>
    <xf numFmtId="0" fontId="54" fillId="0" borderId="0" applyNumberFormat="0" applyFill="0" applyBorder="0" applyAlignment="0" applyProtection="0"/>
    <xf numFmtId="0" fontId="55" fillId="0" borderId="0" applyNumberFormat="0" applyFill="0" applyBorder="0" applyAlignment="0" applyProtection="0"/>
    <xf numFmtId="0" fontId="54" fillId="0" borderId="0" applyNumberFormat="0" applyFill="0" applyBorder="0" applyAlignment="0" applyProtection="0"/>
    <xf numFmtId="0" fontId="55" fillId="0" borderId="0" applyNumberFormat="0" applyFill="0" applyBorder="0" applyAlignment="0" applyProtection="0"/>
    <xf numFmtId="0" fontId="54" fillId="0" borderId="0" applyNumberFormat="0" applyFill="0" applyBorder="0" applyAlignment="0" applyProtection="0"/>
    <xf numFmtId="0" fontId="55" fillId="0" borderId="0" applyNumberFormat="0" applyFill="0" applyBorder="0" applyAlignment="0" applyProtection="0"/>
    <xf numFmtId="0" fontId="54" fillId="0" borderId="0" applyNumberFormat="0" applyFill="0" applyBorder="0" applyAlignment="0" applyProtection="0"/>
    <xf numFmtId="0" fontId="55" fillId="0" borderId="0" applyNumberFormat="0" applyFill="0" applyBorder="0" applyAlignment="0" applyProtection="0"/>
  </cellStyleXfs>
  <cellXfs count="382">
    <xf numFmtId="0" fontId="0" fillId="0" borderId="0" xfId="0"/>
    <xf numFmtId="0" fontId="3" fillId="3" borderId="0" xfId="2" applyFont="1" applyFill="1" applyAlignment="1">
      <alignment wrapText="1"/>
    </xf>
    <xf numFmtId="0" fontId="2" fillId="4" borderId="0" xfId="2" applyFill="1"/>
    <xf numFmtId="0" fontId="4" fillId="5" borderId="0" xfId="2" applyFont="1" applyFill="1" applyAlignment="1">
      <alignment wrapText="1"/>
    </xf>
    <xf numFmtId="0" fontId="5" fillId="3" borderId="0" xfId="2" applyFont="1" applyFill="1" applyAlignment="1">
      <alignment wrapText="1"/>
    </xf>
    <xf numFmtId="0" fontId="7" fillId="3" borderId="0" xfId="2" applyFont="1" applyFill="1" applyAlignment="1">
      <alignment wrapText="1"/>
    </xf>
    <xf numFmtId="0" fontId="2" fillId="3" borderId="0" xfId="2" applyFill="1"/>
    <xf numFmtId="0" fontId="3" fillId="5" borderId="0" xfId="2" applyFont="1" applyFill="1" applyAlignment="1">
      <alignment vertical="top" wrapText="1"/>
    </xf>
    <xf numFmtId="0" fontId="3" fillId="4" borderId="0" xfId="2" applyFont="1" applyFill="1" applyAlignment="1">
      <alignment vertical="top" wrapText="1"/>
    </xf>
    <xf numFmtId="0" fontId="8" fillId="3" borderId="0" xfId="2" applyFont="1" applyFill="1"/>
    <xf numFmtId="0" fontId="3" fillId="5" borderId="0" xfId="2" applyFont="1" applyFill="1" applyAlignment="1">
      <alignment horizontal="left" vertical="top" wrapText="1"/>
    </xf>
    <xf numFmtId="0" fontId="2" fillId="4" borderId="0" xfId="2" applyFill="1" applyAlignment="1">
      <alignment horizontal="left" vertical="top"/>
    </xf>
    <xf numFmtId="0" fontId="3" fillId="5" borderId="0" xfId="2" applyFont="1" applyFill="1" applyAlignment="1">
      <alignment horizontal="left" wrapText="1"/>
    </xf>
    <xf numFmtId="0" fontId="3" fillId="0" borderId="0" xfId="2" applyFont="1"/>
    <xf numFmtId="0" fontId="3" fillId="5" borderId="0" xfId="2" applyFont="1" applyFill="1" applyAlignment="1">
      <alignment wrapText="1"/>
    </xf>
    <xf numFmtId="0" fontId="3" fillId="5" borderId="0" xfId="2" applyNumberFormat="1" applyFont="1" applyFill="1" applyAlignment="1">
      <alignment wrapText="1"/>
    </xf>
    <xf numFmtId="0" fontId="2" fillId="0" borderId="0" xfId="2"/>
    <xf numFmtId="0" fontId="11" fillId="5" borderId="0" xfId="2" applyFont="1" applyFill="1" applyAlignment="1">
      <alignment wrapText="1"/>
    </xf>
    <xf numFmtId="0" fontId="2" fillId="0" borderId="0" xfId="2" applyFont="1" applyBorder="1" applyProtection="1"/>
    <xf numFmtId="0" fontId="2" fillId="0" borderId="0" xfId="2" applyFont="1" applyBorder="1" applyAlignment="1" applyProtection="1">
      <alignment horizontal="left"/>
    </xf>
    <xf numFmtId="0" fontId="2" fillId="0" borderId="0" xfId="2" applyFont="1" applyAlignment="1" applyProtection="1">
      <alignment horizontal="left"/>
    </xf>
    <xf numFmtId="0" fontId="2" fillId="0" borderId="0" xfId="2" applyFont="1" applyProtection="1"/>
    <xf numFmtId="0" fontId="2" fillId="0" borderId="0" xfId="2" applyFont="1"/>
    <xf numFmtId="0" fontId="12" fillId="0" borderId="0" xfId="2" applyFont="1" applyBorder="1" applyProtection="1"/>
    <xf numFmtId="0" fontId="2" fillId="6" borderId="3" xfId="2" applyFont="1" applyFill="1" applyBorder="1"/>
    <xf numFmtId="0" fontId="2" fillId="6" borderId="4" xfId="2" applyFont="1" applyFill="1" applyBorder="1"/>
    <xf numFmtId="0" fontId="12" fillId="0" borderId="0" xfId="2" applyFont="1" applyProtection="1"/>
    <xf numFmtId="0" fontId="2" fillId="6" borderId="0" xfId="2" applyFont="1" applyFill="1" applyBorder="1"/>
    <xf numFmtId="0" fontId="2" fillId="6" borderId="9" xfId="2" applyFont="1" applyFill="1" applyBorder="1"/>
    <xf numFmtId="0" fontId="12" fillId="6" borderId="5" xfId="2" applyFont="1" applyFill="1" applyBorder="1" applyAlignment="1" applyProtection="1">
      <alignment horizontal="left"/>
    </xf>
    <xf numFmtId="0" fontId="12" fillId="6" borderId="0" xfId="2" applyFont="1" applyFill="1" applyBorder="1" applyAlignment="1" applyProtection="1">
      <alignment horizontal="left"/>
    </xf>
    <xf numFmtId="0" fontId="2" fillId="6" borderId="0" xfId="2" applyFont="1" applyFill="1" applyBorder="1" applyProtection="1"/>
    <xf numFmtId="20" fontId="12" fillId="6" borderId="0" xfId="2" applyNumberFormat="1" applyFont="1" applyFill="1" applyBorder="1" applyAlignment="1" applyProtection="1">
      <alignment horizontal="left"/>
    </xf>
    <xf numFmtId="0" fontId="12" fillId="6" borderId="0" xfId="2" applyFont="1" applyFill="1" applyBorder="1" applyProtection="1"/>
    <xf numFmtId="0" fontId="12" fillId="6" borderId="5" xfId="2" applyFont="1" applyFill="1" applyBorder="1" applyProtection="1"/>
    <xf numFmtId="0" fontId="16" fillId="6" borderId="0" xfId="2" applyFont="1" applyFill="1" applyBorder="1" applyAlignment="1" applyProtection="1">
      <alignment horizontal="left"/>
    </xf>
    <xf numFmtId="0" fontId="16" fillId="6" borderId="0" xfId="2" applyFont="1" applyFill="1" applyBorder="1" applyProtection="1"/>
    <xf numFmtId="0" fontId="16" fillId="6" borderId="0" xfId="2" applyFont="1" applyFill="1" applyBorder="1" applyAlignment="1" applyProtection="1"/>
    <xf numFmtId="0" fontId="15" fillId="6" borderId="0" xfId="2" applyFont="1" applyFill="1" applyBorder="1" applyAlignment="1" applyProtection="1"/>
    <xf numFmtId="0" fontId="17" fillId="6" borderId="0" xfId="2" applyFont="1" applyFill="1" applyBorder="1" applyAlignment="1" applyProtection="1"/>
    <xf numFmtId="0" fontId="18" fillId="6" borderId="0" xfId="2" applyFont="1" applyFill="1" applyBorder="1"/>
    <xf numFmtId="0" fontId="2" fillId="6" borderId="5" xfId="2" applyFont="1" applyFill="1" applyBorder="1" applyAlignment="1" applyProtection="1">
      <alignment horizontal="left"/>
    </xf>
    <xf numFmtId="0" fontId="16" fillId="6" borderId="2" xfId="2" applyFont="1" applyFill="1" applyBorder="1" applyAlignment="1" applyProtection="1">
      <alignment horizontal="right"/>
    </xf>
    <xf numFmtId="0" fontId="12" fillId="6" borderId="0" xfId="2" applyFont="1" applyFill="1" applyBorder="1"/>
    <xf numFmtId="0" fontId="12" fillId="6" borderId="9" xfId="2" applyFont="1" applyFill="1" applyBorder="1"/>
    <xf numFmtId="0" fontId="12" fillId="0" borderId="0" xfId="2" applyFont="1"/>
    <xf numFmtId="0" fontId="16" fillId="6" borderId="5" xfId="2" applyFont="1" applyFill="1" applyBorder="1" applyAlignment="1" applyProtection="1">
      <alignment horizontal="right"/>
    </xf>
    <xf numFmtId="0" fontId="16" fillId="6" borderId="13" xfId="2" applyFont="1" applyFill="1" applyBorder="1" applyAlignment="1" applyProtection="1">
      <alignment horizontal="right"/>
    </xf>
    <xf numFmtId="0" fontId="16" fillId="6" borderId="14" xfId="2" applyFont="1" applyFill="1" applyBorder="1" applyAlignment="1" applyProtection="1">
      <alignment horizontal="right"/>
    </xf>
    <xf numFmtId="0" fontId="19" fillId="6" borderId="5" xfId="2" applyFont="1" applyFill="1" applyBorder="1" applyProtection="1"/>
    <xf numFmtId="0" fontId="19" fillId="6" borderId="0" xfId="2" applyFont="1" applyFill="1" applyBorder="1" applyProtection="1"/>
    <xf numFmtId="0" fontId="15" fillId="6" borderId="5" xfId="2" applyFont="1" applyFill="1" applyBorder="1" applyAlignment="1" applyProtection="1">
      <alignment vertical="center"/>
    </xf>
    <xf numFmtId="0" fontId="13" fillId="6" borderId="0" xfId="2" applyFont="1" applyFill="1" applyBorder="1" applyAlignment="1" applyProtection="1">
      <alignment vertical="center"/>
    </xf>
    <xf numFmtId="0" fontId="13" fillId="6" borderId="17" xfId="2" applyFont="1" applyFill="1" applyBorder="1" applyAlignment="1" applyProtection="1">
      <alignment vertical="center"/>
    </xf>
    <xf numFmtId="0" fontId="21" fillId="6" borderId="0" xfId="2" applyFont="1" applyFill="1" applyBorder="1" applyProtection="1"/>
    <xf numFmtId="0" fontId="23" fillId="6" borderId="0" xfId="2" applyFont="1" applyFill="1" applyBorder="1" applyProtection="1"/>
    <xf numFmtId="9" fontId="23" fillId="6" borderId="9" xfId="3" applyFont="1" applyFill="1" applyBorder="1" applyAlignment="1" applyProtection="1">
      <alignment horizontal="center"/>
    </xf>
    <xf numFmtId="0" fontId="2" fillId="6" borderId="0" xfId="2" applyFill="1" applyBorder="1"/>
    <xf numFmtId="0" fontId="2" fillId="6" borderId="9" xfId="2" applyFill="1" applyBorder="1"/>
    <xf numFmtId="0" fontId="24" fillId="6" borderId="5" xfId="2" applyFont="1" applyFill="1" applyBorder="1" applyAlignment="1" applyProtection="1">
      <alignment vertical="center"/>
    </xf>
    <xf numFmtId="0" fontId="25" fillId="6" borderId="0" xfId="2" applyFont="1" applyFill="1" applyBorder="1" applyAlignment="1" applyProtection="1">
      <alignment vertical="center"/>
    </xf>
    <xf numFmtId="0" fontId="26" fillId="6" borderId="0" xfId="2" applyFont="1" applyFill="1" applyBorder="1" applyProtection="1"/>
    <xf numFmtId="0" fontId="22" fillId="6" borderId="0" xfId="2" applyFont="1" applyFill="1" applyBorder="1"/>
    <xf numFmtId="9" fontId="2" fillId="6" borderId="0" xfId="3" applyFont="1" applyFill="1" applyBorder="1" applyAlignment="1">
      <alignment horizontal="center"/>
    </xf>
    <xf numFmtId="0" fontId="27" fillId="6" borderId="0" xfId="2" applyFont="1" applyFill="1" applyBorder="1" applyProtection="1"/>
    <xf numFmtId="0" fontId="15" fillId="6" borderId="5" xfId="2" applyFont="1" applyFill="1" applyBorder="1" applyAlignment="1" applyProtection="1"/>
    <xf numFmtId="0" fontId="18" fillId="6" borderId="0" xfId="2" applyFont="1" applyFill="1" applyBorder="1" applyAlignment="1"/>
    <xf numFmtId="0" fontId="12" fillId="6" borderId="0" xfId="2" applyFont="1" applyFill="1" applyBorder="1" applyAlignment="1"/>
    <xf numFmtId="0" fontId="12" fillId="6" borderId="0" xfId="2" applyFont="1" applyFill="1" applyBorder="1" applyAlignment="1" applyProtection="1">
      <protection locked="0"/>
    </xf>
    <xf numFmtId="0" fontId="2" fillId="6" borderId="0" xfId="2" applyFill="1" applyBorder="1" applyAlignment="1" applyProtection="1">
      <protection locked="0"/>
    </xf>
    <xf numFmtId="0" fontId="29" fillId="6" borderId="0" xfId="2" applyFont="1" applyFill="1" applyBorder="1" applyAlignment="1" applyProtection="1"/>
    <xf numFmtId="0" fontId="29" fillId="4" borderId="6" xfId="2" applyFont="1" applyFill="1" applyBorder="1" applyAlignment="1" applyProtection="1"/>
    <xf numFmtId="0" fontId="2" fillId="4" borderId="7" xfId="2" applyFill="1" applyBorder="1" applyAlignment="1" applyProtection="1"/>
    <xf numFmtId="0" fontId="2" fillId="4" borderId="8" xfId="2" applyFont="1" applyFill="1" applyBorder="1"/>
    <xf numFmtId="0" fontId="12" fillId="6" borderId="0" xfId="2" applyFont="1" applyFill="1" applyBorder="1" applyAlignment="1" applyProtection="1"/>
    <xf numFmtId="0" fontId="2" fillId="6" borderId="0" xfId="2" applyFill="1" applyBorder="1" applyAlignment="1" applyProtection="1"/>
    <xf numFmtId="0" fontId="2" fillId="6" borderId="0" xfId="2" applyFill="1" applyBorder="1" applyAlignment="1" applyProtection="1">
      <alignment vertical="center"/>
    </xf>
    <xf numFmtId="0" fontId="2" fillId="6" borderId="0" xfId="2" applyFill="1" applyBorder="1" applyAlignment="1" applyProtection="1">
      <alignment vertical="center"/>
      <protection locked="0"/>
    </xf>
    <xf numFmtId="0" fontId="1" fillId="6" borderId="0" xfId="1" applyFill="1" applyBorder="1"/>
    <xf numFmtId="0" fontId="17" fillId="6" borderId="5" xfId="2" applyFont="1" applyFill="1" applyBorder="1" applyAlignment="1" applyProtection="1">
      <alignment horizontal="left"/>
    </xf>
    <xf numFmtId="0" fontId="17" fillId="6" borderId="0" xfId="2" applyFont="1" applyFill="1" applyBorder="1" applyAlignment="1" applyProtection="1">
      <alignment horizontal="left"/>
    </xf>
    <xf numFmtId="0" fontId="30" fillId="6" borderId="5" xfId="2" applyFont="1" applyFill="1" applyBorder="1" applyProtection="1"/>
    <xf numFmtId="0" fontId="14" fillId="0" borderId="0" xfId="2" applyFont="1" applyBorder="1" applyProtection="1"/>
    <xf numFmtId="0" fontId="31" fillId="6" borderId="0" xfId="2" applyFont="1" applyFill="1" applyBorder="1" applyAlignment="1" applyProtection="1">
      <alignment horizontal="left"/>
    </xf>
    <xf numFmtId="0" fontId="32" fillId="6" borderId="9" xfId="2" applyFont="1" applyFill="1" applyBorder="1"/>
    <xf numFmtId="0" fontId="33" fillId="0" borderId="0" xfId="2" applyFont="1"/>
    <xf numFmtId="0" fontId="14" fillId="0" borderId="0" xfId="2" applyFont="1" applyProtection="1"/>
    <xf numFmtId="0" fontId="15" fillId="6" borderId="6" xfId="2" applyFont="1" applyFill="1" applyBorder="1" applyAlignment="1" applyProtection="1">
      <alignment horizontal="left" vertical="center"/>
    </xf>
    <xf numFmtId="0" fontId="16" fillId="6" borderId="8" xfId="2" applyFont="1" applyFill="1" applyBorder="1" applyAlignment="1" applyProtection="1">
      <alignment horizontal="left" vertical="center"/>
    </xf>
    <xf numFmtId="0" fontId="16" fillId="6" borderId="5" xfId="2" applyFont="1" applyFill="1" applyBorder="1" applyAlignment="1" applyProtection="1">
      <alignment horizontal="left"/>
    </xf>
    <xf numFmtId="0" fontId="18" fillId="6" borderId="9" xfId="2" applyFont="1" applyFill="1" applyBorder="1"/>
    <xf numFmtId="0" fontId="18" fillId="6" borderId="5" xfId="2" applyFont="1" applyFill="1" applyBorder="1" applyAlignment="1" applyProtection="1">
      <alignment horizontal="left"/>
    </xf>
    <xf numFmtId="0" fontId="18" fillId="6" borderId="9" xfId="2" applyFont="1" applyFill="1" applyBorder="1" applyAlignment="1" applyProtection="1">
      <alignment horizontal="left"/>
    </xf>
    <xf numFmtId="0" fontId="18" fillId="6" borderId="0" xfId="2" applyFont="1" applyFill="1" applyBorder="1" applyAlignment="1" applyProtection="1">
      <alignment horizontal="right"/>
    </xf>
    <xf numFmtId="0" fontId="34" fillId="6" borderId="24" xfId="2" applyFont="1" applyFill="1" applyBorder="1" applyAlignment="1" applyProtection="1">
      <alignment horizontal="center"/>
    </xf>
    <xf numFmtId="0" fontId="34" fillId="6" borderId="2" xfId="2" applyFont="1" applyFill="1" applyBorder="1" applyAlignment="1" applyProtection="1">
      <alignment horizontal="center"/>
    </xf>
    <xf numFmtId="9" fontId="34" fillId="6" borderId="24" xfId="3" applyFont="1" applyFill="1" applyBorder="1" applyAlignment="1">
      <alignment horizontal="center"/>
    </xf>
    <xf numFmtId="9" fontId="34" fillId="6" borderId="3" xfId="3" applyFont="1" applyFill="1" applyBorder="1" applyAlignment="1">
      <alignment horizontal="center"/>
    </xf>
    <xf numFmtId="9" fontId="34" fillId="6" borderId="4" xfId="3" applyFont="1" applyFill="1" applyBorder="1" applyAlignment="1">
      <alignment horizontal="center"/>
    </xf>
    <xf numFmtId="0" fontId="18" fillId="6" borderId="5" xfId="2" applyFont="1" applyFill="1" applyBorder="1" applyAlignment="1" applyProtection="1">
      <alignment horizontal="right"/>
    </xf>
    <xf numFmtId="0" fontId="34" fillId="6" borderId="5" xfId="2" applyFont="1" applyFill="1" applyBorder="1" applyAlignment="1" applyProtection="1">
      <alignment horizontal="center"/>
    </xf>
    <xf numFmtId="0" fontId="34" fillId="6" borderId="9" xfId="2" applyFont="1" applyFill="1" applyBorder="1" applyAlignment="1" applyProtection="1">
      <alignment horizontal="center"/>
    </xf>
    <xf numFmtId="9" fontId="34" fillId="6" borderId="26" xfId="3" applyFont="1" applyFill="1" applyBorder="1" applyAlignment="1">
      <alignment horizontal="center"/>
    </xf>
    <xf numFmtId="9" fontId="34" fillId="6" borderId="9" xfId="3" applyFont="1" applyFill="1" applyBorder="1" applyAlignment="1">
      <alignment horizontal="center"/>
    </xf>
    <xf numFmtId="0" fontId="34" fillId="6" borderId="0" xfId="2" applyFont="1" applyFill="1" applyBorder="1" applyAlignment="1" applyProtection="1">
      <alignment horizontal="center"/>
    </xf>
    <xf numFmtId="9" fontId="34" fillId="6" borderId="0" xfId="3" applyFont="1" applyFill="1" applyBorder="1" applyAlignment="1">
      <alignment horizontal="center"/>
    </xf>
    <xf numFmtId="0" fontId="34" fillId="6" borderId="26" xfId="2" applyFont="1" applyFill="1" applyBorder="1" applyAlignment="1" applyProtection="1">
      <alignment horizontal="center"/>
    </xf>
    <xf numFmtId="0" fontId="18" fillId="6" borderId="5" xfId="2" applyFont="1" applyFill="1" applyBorder="1" applyProtection="1"/>
    <xf numFmtId="0" fontId="2" fillId="0" borderId="0" xfId="2" applyFont="1" applyBorder="1"/>
    <xf numFmtId="0" fontId="18" fillId="6" borderId="6" xfId="2" applyFont="1" applyFill="1" applyBorder="1" applyAlignment="1" applyProtection="1">
      <alignment horizontal="left"/>
    </xf>
    <xf numFmtId="0" fontId="32" fillId="6" borderId="8" xfId="2" applyFont="1" applyFill="1" applyBorder="1" applyAlignment="1" applyProtection="1">
      <alignment horizontal="left"/>
    </xf>
    <xf numFmtId="0" fontId="34" fillId="6" borderId="13" xfId="2" applyFont="1" applyFill="1" applyBorder="1" applyAlignment="1" applyProtection="1">
      <alignment horizontal="center"/>
    </xf>
    <xf numFmtId="0" fontId="34" fillId="6" borderId="15" xfId="2" applyFont="1" applyFill="1" applyBorder="1" applyAlignment="1" applyProtection="1">
      <alignment horizontal="center"/>
    </xf>
    <xf numFmtId="9" fontId="34" fillId="6" borderId="25" xfId="3" applyFont="1" applyFill="1" applyBorder="1" applyAlignment="1">
      <alignment horizontal="center"/>
    </xf>
    <xf numFmtId="9" fontId="34" fillId="6" borderId="15" xfId="3" applyFont="1" applyFill="1" applyBorder="1" applyAlignment="1">
      <alignment horizontal="center"/>
    </xf>
    <xf numFmtId="0" fontId="12" fillId="0" borderId="0" xfId="2" applyFont="1" applyBorder="1"/>
    <xf numFmtId="0" fontId="16" fillId="6" borderId="15" xfId="2" applyFont="1" applyFill="1" applyBorder="1"/>
    <xf numFmtId="0" fontId="16" fillId="6" borderId="14" xfId="2" applyFont="1" applyFill="1" applyBorder="1"/>
    <xf numFmtId="0" fontId="16" fillId="6" borderId="7" xfId="2" applyFont="1" applyFill="1" applyBorder="1"/>
    <xf numFmtId="0" fontId="16" fillId="6" borderId="14" xfId="2" applyFont="1" applyFill="1" applyBorder="1" applyProtection="1"/>
    <xf numFmtId="0" fontId="14" fillId="3" borderId="0" xfId="2" applyFont="1" applyFill="1" applyBorder="1" applyAlignment="1"/>
    <xf numFmtId="0" fontId="12" fillId="3" borderId="0" xfId="2" applyFont="1" applyFill="1"/>
    <xf numFmtId="0" fontId="2" fillId="3" borderId="0" xfId="2" applyFont="1" applyFill="1" applyBorder="1"/>
    <xf numFmtId="0" fontId="2" fillId="3" borderId="0" xfId="2" applyFont="1" applyFill="1"/>
    <xf numFmtId="0" fontId="30" fillId="3" borderId="0" xfId="2" applyFont="1" applyFill="1" applyBorder="1" applyAlignment="1">
      <alignment horizontal="center" vertical="center"/>
    </xf>
    <xf numFmtId="0" fontId="16" fillId="0" borderId="0" xfId="2" applyFont="1" applyAlignment="1">
      <alignment horizontal="center" vertical="center"/>
    </xf>
    <xf numFmtId="0" fontId="36" fillId="3" borderId="0" xfId="2" applyFont="1" applyFill="1" applyBorder="1" applyAlignment="1">
      <alignment wrapText="1"/>
    </xf>
    <xf numFmtId="0" fontId="36" fillId="3" borderId="0" xfId="2" applyFont="1" applyFill="1" applyBorder="1" applyAlignment="1">
      <alignment horizontal="center" wrapText="1"/>
    </xf>
    <xf numFmtId="0" fontId="39" fillId="3" borderId="0" xfId="2" applyFont="1" applyFill="1" applyBorder="1" applyAlignment="1"/>
    <xf numFmtId="0" fontId="12" fillId="6" borderId="2" xfId="2" applyFont="1" applyFill="1" applyBorder="1" applyAlignment="1" applyProtection="1">
      <alignment horizontal="left"/>
    </xf>
    <xf numFmtId="0" fontId="2" fillId="3" borderId="5" xfId="2" applyFont="1" applyFill="1" applyBorder="1"/>
    <xf numFmtId="0" fontId="2" fillId="3" borderId="9" xfId="2" applyFont="1" applyFill="1" applyBorder="1"/>
    <xf numFmtId="0" fontId="12" fillId="6" borderId="13" xfId="2" applyFont="1" applyFill="1" applyBorder="1" applyAlignment="1" applyProtection="1">
      <alignment horizontal="left"/>
    </xf>
    <xf numFmtId="0" fontId="14" fillId="6" borderId="6" xfId="2" applyFont="1" applyFill="1" applyBorder="1" applyAlignment="1">
      <alignment wrapText="1"/>
    </xf>
    <xf numFmtId="9" fontId="14" fillId="6" borderId="16" xfId="3" applyFont="1" applyFill="1" applyBorder="1"/>
    <xf numFmtId="0" fontId="17" fillId="6" borderId="16" xfId="2" applyFont="1" applyFill="1" applyBorder="1" applyAlignment="1">
      <alignment wrapText="1"/>
    </xf>
    <xf numFmtId="0" fontId="17" fillId="6" borderId="7" xfId="2" applyFont="1" applyFill="1" applyBorder="1" applyAlignment="1" applyProtection="1">
      <alignment horizontal="center" wrapText="1"/>
    </xf>
    <xf numFmtId="0" fontId="17" fillId="6" borderId="16" xfId="2" applyFont="1" applyFill="1" applyBorder="1" applyAlignment="1" applyProtection="1">
      <alignment horizontal="center"/>
    </xf>
    <xf numFmtId="9" fontId="12" fillId="6" borderId="24" xfId="3" applyFont="1" applyFill="1" applyBorder="1" applyAlignment="1">
      <alignment horizontal="center"/>
    </xf>
    <xf numFmtId="2" fontId="12" fillId="6" borderId="4" xfId="2" applyNumberFormat="1" applyFont="1" applyFill="1" applyBorder="1" applyAlignment="1">
      <alignment horizontal="center"/>
    </xf>
    <xf numFmtId="9" fontId="12" fillId="6" borderId="26" xfId="3" applyFont="1" applyFill="1" applyBorder="1" applyAlignment="1">
      <alignment horizontal="center"/>
    </xf>
    <xf numFmtId="2" fontId="12" fillId="6" borderId="9" xfId="2" applyNumberFormat="1" applyFont="1" applyFill="1" applyBorder="1" applyAlignment="1">
      <alignment horizontal="center"/>
    </xf>
    <xf numFmtId="0" fontId="12" fillId="6" borderId="5" xfId="2" applyFont="1" applyFill="1" applyBorder="1"/>
    <xf numFmtId="9" fontId="12" fillId="6" borderId="25" xfId="3" applyFont="1" applyFill="1" applyBorder="1" applyAlignment="1">
      <alignment horizontal="center"/>
    </xf>
    <xf numFmtId="2" fontId="12" fillId="6" borderId="15" xfId="2" applyNumberFormat="1" applyFont="1" applyFill="1" applyBorder="1" applyAlignment="1">
      <alignment horizontal="center"/>
    </xf>
    <xf numFmtId="0" fontId="17" fillId="6" borderId="6" xfId="2" applyFont="1" applyFill="1" applyBorder="1" applyAlignment="1">
      <alignment wrapText="1"/>
    </xf>
    <xf numFmtId="0" fontId="12" fillId="6" borderId="26" xfId="2" applyFont="1" applyFill="1" applyBorder="1"/>
    <xf numFmtId="2" fontId="12" fillId="6" borderId="24" xfId="2" applyNumberFormat="1" applyFont="1" applyFill="1" applyBorder="1" applyAlignment="1">
      <alignment horizontal="center"/>
    </xf>
    <xf numFmtId="2" fontId="12" fillId="6" borderId="26" xfId="2" applyNumberFormat="1" applyFont="1" applyFill="1" applyBorder="1" applyAlignment="1">
      <alignment horizontal="center"/>
    </xf>
    <xf numFmtId="0" fontId="18" fillId="3" borderId="0" xfId="2" applyFont="1" applyFill="1"/>
    <xf numFmtId="0" fontId="36" fillId="0" borderId="9" xfId="2" applyFont="1" applyBorder="1" applyAlignment="1">
      <alignment wrapText="1"/>
    </xf>
    <xf numFmtId="2" fontId="12" fillId="6" borderId="25" xfId="2" applyNumberFormat="1" applyFont="1" applyFill="1" applyBorder="1" applyAlignment="1">
      <alignment horizontal="center"/>
    </xf>
    <xf numFmtId="0" fontId="2" fillId="3" borderId="13" xfId="2" applyFont="1" applyFill="1" applyBorder="1"/>
    <xf numFmtId="0" fontId="2" fillId="3" borderId="14" xfId="2" applyFont="1" applyFill="1" applyBorder="1"/>
    <xf numFmtId="0" fontId="2" fillId="3" borderId="15" xfId="2" applyFont="1" applyFill="1" applyBorder="1"/>
    <xf numFmtId="0" fontId="12" fillId="6" borderId="2" xfId="2" applyFont="1" applyFill="1" applyBorder="1" applyProtection="1"/>
    <xf numFmtId="0" fontId="14" fillId="6" borderId="0" xfId="2" applyFont="1" applyFill="1" applyBorder="1" applyAlignment="1" applyProtection="1">
      <alignment horizontal="left"/>
    </xf>
    <xf numFmtId="0" fontId="2" fillId="6" borderId="0" xfId="2" applyFont="1" applyFill="1" applyBorder="1" applyAlignment="1" applyProtection="1">
      <alignment horizontal="center"/>
    </xf>
    <xf numFmtId="0" fontId="28" fillId="6" borderId="0" xfId="2" applyFont="1" applyFill="1" applyBorder="1" applyProtection="1"/>
    <xf numFmtId="0" fontId="17" fillId="6" borderId="0" xfId="2" applyFont="1" applyFill="1" applyBorder="1" applyAlignment="1" applyProtection="1">
      <alignment horizontal="right"/>
    </xf>
    <xf numFmtId="0" fontId="43" fillId="6" borderId="0" xfId="2" applyFont="1" applyFill="1" applyBorder="1" applyAlignment="1">
      <alignment horizontal="left"/>
    </xf>
    <xf numFmtId="0" fontId="17" fillId="6" borderId="0" xfId="2" applyFont="1" applyFill="1" applyBorder="1" applyAlignment="1" applyProtection="1">
      <alignment horizontal="center"/>
    </xf>
    <xf numFmtId="0" fontId="23" fillId="6" borderId="0" xfId="2" applyFont="1" applyFill="1" applyBorder="1" applyAlignment="1" applyProtection="1"/>
    <xf numFmtId="0" fontId="23" fillId="6" borderId="0" xfId="2" applyFont="1" applyFill="1" applyBorder="1" applyAlignment="1" applyProtection="1">
      <alignment horizontal="left"/>
    </xf>
    <xf numFmtId="0" fontId="12" fillId="6" borderId="0" xfId="2" applyFont="1" applyFill="1" applyBorder="1" applyAlignment="1" applyProtection="1">
      <alignment horizontal="right"/>
    </xf>
    <xf numFmtId="0" fontId="2" fillId="6" borderId="5" xfId="2" applyFont="1" applyFill="1" applyBorder="1" applyProtection="1"/>
    <xf numFmtId="0" fontId="15" fillId="7" borderId="6" xfId="2" applyFont="1" applyFill="1" applyBorder="1" applyAlignment="1" applyProtection="1">
      <alignment horizontal="center"/>
    </xf>
    <xf numFmtId="0" fontId="15" fillId="7" borderId="3" xfId="2" applyFont="1" applyFill="1" applyBorder="1" applyAlignment="1" applyProtection="1">
      <alignment horizontal="center"/>
    </xf>
    <xf numFmtId="0" fontId="15" fillId="7" borderId="16" xfId="2" applyFont="1" applyFill="1" applyBorder="1" applyAlignment="1" applyProtection="1">
      <alignment horizontal="center"/>
    </xf>
    <xf numFmtId="0" fontId="15" fillId="7" borderId="4" xfId="2" applyFont="1" applyFill="1" applyBorder="1" applyAlignment="1" applyProtection="1">
      <alignment horizontal="center"/>
    </xf>
    <xf numFmtId="0" fontId="15" fillId="6" borderId="2" xfId="2" applyFont="1" applyFill="1" applyBorder="1" applyAlignment="1" applyProtection="1">
      <alignment horizontal="center"/>
    </xf>
    <xf numFmtId="0" fontId="15" fillId="6" borderId="3" xfId="2" applyFont="1" applyFill="1" applyBorder="1" applyAlignment="1" applyProtection="1">
      <alignment horizontal="center"/>
    </xf>
    <xf numFmtId="0" fontId="15" fillId="6" borderId="24" xfId="2" applyFont="1" applyFill="1" applyBorder="1" applyAlignment="1" applyProtection="1">
      <alignment horizontal="center"/>
    </xf>
    <xf numFmtId="0" fontId="15" fillId="6" borderId="5" xfId="2" applyFont="1" applyFill="1" applyBorder="1" applyAlignment="1" applyProtection="1">
      <alignment horizontal="center"/>
    </xf>
    <xf numFmtId="0" fontId="15" fillId="6" borderId="0" xfId="2" applyFont="1" applyFill="1" applyBorder="1" applyAlignment="1" applyProtection="1">
      <alignment horizontal="center"/>
    </xf>
    <xf numFmtId="0" fontId="15" fillId="6" borderId="26" xfId="2" applyFont="1" applyFill="1" applyBorder="1" applyAlignment="1" applyProtection="1">
      <alignment horizontal="center"/>
    </xf>
    <xf numFmtId="0" fontId="15" fillId="6" borderId="13" xfId="2" applyFont="1" applyFill="1" applyBorder="1" applyAlignment="1" applyProtection="1">
      <alignment horizontal="center"/>
    </xf>
    <xf numFmtId="0" fontId="15" fillId="6" borderId="14" xfId="2" applyFont="1" applyFill="1" applyBorder="1" applyAlignment="1" applyProtection="1">
      <alignment horizontal="center"/>
    </xf>
    <xf numFmtId="0" fontId="15" fillId="6" borderId="25" xfId="2" applyFont="1" applyFill="1" applyBorder="1" applyAlignment="1" applyProtection="1">
      <alignment horizontal="center"/>
    </xf>
    <xf numFmtId="0" fontId="2" fillId="6" borderId="0" xfId="2" applyFont="1" applyFill="1" applyBorder="1" applyAlignment="1" applyProtection="1">
      <alignment horizontal="center"/>
      <protection locked="0"/>
    </xf>
    <xf numFmtId="0" fontId="15" fillId="6" borderId="0" xfId="2" applyFont="1" applyFill="1" applyBorder="1" applyAlignment="1" applyProtection="1">
      <alignment horizontal="center" vertical="center"/>
    </xf>
    <xf numFmtId="0" fontId="2" fillId="6" borderId="13" xfId="2" applyFont="1" applyFill="1" applyBorder="1"/>
    <xf numFmtId="0" fontId="2" fillId="6" borderId="14" xfId="2" applyFont="1" applyFill="1" applyBorder="1" applyProtection="1"/>
    <xf numFmtId="0" fontId="2" fillId="6" borderId="15" xfId="2" applyFont="1" applyFill="1" applyBorder="1"/>
    <xf numFmtId="0" fontId="2" fillId="3" borderId="0" xfId="2" applyFont="1" applyFill="1" applyProtection="1"/>
    <xf numFmtId="0" fontId="2" fillId="0" borderId="38" xfId="2" applyFont="1" applyBorder="1" applyAlignment="1" applyProtection="1">
      <alignment horizontal="left"/>
    </xf>
    <xf numFmtId="0" fontId="23" fillId="6" borderId="0" xfId="2" applyFont="1" applyFill="1" applyBorder="1" applyProtection="1"/>
    <xf numFmtId="0" fontId="16" fillId="6" borderId="0" xfId="2" applyFont="1" applyFill="1" applyBorder="1" applyAlignment="1" applyProtection="1">
      <alignment horizontal="right"/>
    </xf>
    <xf numFmtId="0" fontId="42" fillId="4" borderId="0" xfId="2" applyFont="1" applyFill="1"/>
    <xf numFmtId="0" fontId="42" fillId="4" borderId="0" xfId="2" applyFont="1" applyFill="1" applyBorder="1" applyProtection="1"/>
    <xf numFmtId="0" fontId="44" fillId="4" borderId="0" xfId="2" applyFont="1" applyFill="1" applyBorder="1" applyAlignment="1" applyProtection="1"/>
    <xf numFmtId="0" fontId="42" fillId="4" borderId="0" xfId="2" applyFont="1" applyFill="1" applyBorder="1"/>
    <xf numFmtId="0" fontId="44" fillId="4" borderId="0" xfId="2" applyFont="1" applyFill="1" applyBorder="1" applyAlignment="1">
      <alignment horizontal="left"/>
    </xf>
    <xf numFmtId="0" fontId="44" fillId="4" borderId="0" xfId="2" applyFont="1" applyFill="1" applyBorder="1"/>
    <xf numFmtId="0" fontId="44" fillId="4" borderId="0" xfId="2" applyFont="1" applyFill="1" applyBorder="1" applyAlignment="1" applyProtection="1">
      <alignment horizontal="left"/>
    </xf>
    <xf numFmtId="0" fontId="12" fillId="4" borderId="16" xfId="2" applyFont="1" applyFill="1" applyBorder="1" applyAlignment="1" applyProtection="1">
      <alignment horizontal="center"/>
      <protection hidden="1"/>
    </xf>
    <xf numFmtId="0" fontId="12" fillId="6" borderId="0" xfId="2" applyFont="1" applyFill="1" applyBorder="1" applyProtection="1"/>
    <xf numFmtId="0" fontId="17" fillId="6" borderId="0" xfId="2" applyFont="1" applyFill="1" applyBorder="1" applyAlignment="1" applyProtection="1">
      <alignment horizontal="right"/>
    </xf>
    <xf numFmtId="0" fontId="17" fillId="6" borderId="0" xfId="2" applyFont="1" applyFill="1" applyBorder="1" applyAlignment="1" applyProtection="1"/>
    <xf numFmtId="0" fontId="2" fillId="6" borderId="0" xfId="2" applyFont="1" applyFill="1" applyBorder="1" applyAlignment="1" applyProtection="1">
      <alignment horizontal="left"/>
    </xf>
    <xf numFmtId="0" fontId="23" fillId="6" borderId="0" xfId="2" applyFont="1" applyFill="1" applyBorder="1" applyAlignment="1" applyProtection="1"/>
    <xf numFmtId="0" fontId="42" fillId="3" borderId="0" xfId="2" applyFont="1" applyFill="1"/>
    <xf numFmtId="0" fontId="42" fillId="4" borderId="0" xfId="2" applyFont="1" applyFill="1" applyBorder="1" applyAlignment="1" applyProtection="1">
      <alignment horizontal="right"/>
    </xf>
    <xf numFmtId="0" fontId="12" fillId="6" borderId="5" xfId="2" applyFont="1" applyFill="1" applyBorder="1" applyAlignment="1" applyProtection="1">
      <alignment horizontal="left"/>
    </xf>
    <xf numFmtId="0" fontId="12" fillId="6" borderId="2" xfId="2" applyFont="1" applyFill="1" applyBorder="1" applyAlignment="1" applyProtection="1">
      <alignment horizontal="left"/>
    </xf>
    <xf numFmtId="0" fontId="12" fillId="6" borderId="13" xfId="2" applyFont="1" applyFill="1" applyBorder="1" applyAlignment="1" applyProtection="1">
      <alignment horizontal="left"/>
    </xf>
    <xf numFmtId="0" fontId="12" fillId="6" borderId="5" xfId="2" applyFont="1" applyFill="1" applyBorder="1" applyProtection="1"/>
    <xf numFmtId="0" fontId="17" fillId="6" borderId="2" xfId="2" applyFont="1" applyFill="1" applyBorder="1" applyAlignment="1" applyProtection="1">
      <alignment horizontal="left"/>
    </xf>
    <xf numFmtId="0" fontId="17" fillId="6" borderId="24" xfId="2" applyFont="1" applyFill="1" applyBorder="1" applyAlignment="1" applyProtection="1">
      <alignment horizontal="center" wrapText="1"/>
    </xf>
    <xf numFmtId="9" fontId="12" fillId="6" borderId="24" xfId="3" applyFont="1" applyFill="1" applyBorder="1" applyAlignment="1" applyProtection="1">
      <alignment horizontal="center"/>
    </xf>
    <xf numFmtId="2" fontId="12" fillId="6" borderId="4" xfId="2" applyNumberFormat="1" applyFont="1" applyFill="1" applyBorder="1" applyAlignment="1" applyProtection="1">
      <alignment horizontal="center"/>
    </xf>
    <xf numFmtId="9" fontId="12" fillId="6" borderId="26" xfId="3" applyFont="1" applyFill="1" applyBorder="1" applyAlignment="1" applyProtection="1">
      <alignment horizontal="center"/>
    </xf>
    <xf numFmtId="2" fontId="12" fillId="6" borderId="9" xfId="2" applyNumberFormat="1" applyFont="1" applyFill="1" applyBorder="1" applyAlignment="1" applyProtection="1">
      <alignment horizontal="center"/>
    </xf>
    <xf numFmtId="9" fontId="12" fillId="6" borderId="25" xfId="3" applyFont="1" applyFill="1" applyBorder="1" applyAlignment="1" applyProtection="1">
      <alignment horizontal="center"/>
    </xf>
    <xf numFmtId="2" fontId="12" fillId="6" borderId="15" xfId="2" applyNumberFormat="1" applyFont="1" applyFill="1" applyBorder="1" applyAlignment="1" applyProtection="1">
      <alignment horizontal="center"/>
    </xf>
    <xf numFmtId="0" fontId="17" fillId="6" borderId="0" xfId="2" applyFont="1" applyFill="1" applyBorder="1" applyAlignment="1" applyProtection="1">
      <alignment horizontal="left"/>
    </xf>
    <xf numFmtId="0" fontId="12" fillId="6" borderId="0" xfId="2" applyFont="1" applyFill="1" applyBorder="1" applyAlignment="1" applyProtection="1"/>
    <xf numFmtId="0" fontId="12" fillId="6" borderId="0" xfId="2" applyFont="1" applyFill="1" applyProtection="1"/>
    <xf numFmtId="0" fontId="43" fillId="6" borderId="0" xfId="2" applyFont="1" applyFill="1" applyBorder="1" applyAlignment="1">
      <alignment horizontal="left"/>
    </xf>
    <xf numFmtId="0" fontId="42" fillId="4" borderId="0" xfId="2" applyFont="1" applyFill="1" applyBorder="1" applyAlignment="1" applyProtection="1">
      <alignment horizontal="left"/>
    </xf>
    <xf numFmtId="0" fontId="17" fillId="6" borderId="0" xfId="2" applyFont="1" applyFill="1" applyAlignment="1" applyProtection="1">
      <alignment horizontal="right"/>
    </xf>
    <xf numFmtId="0" fontId="12" fillId="6" borderId="25" xfId="2" applyFont="1" applyFill="1" applyBorder="1"/>
    <xf numFmtId="0" fontId="15" fillId="6" borderId="0" xfId="2" applyFont="1" applyFill="1" applyBorder="1" applyAlignment="1" applyProtection="1">
      <alignment horizontal="left"/>
    </xf>
    <xf numFmtId="0" fontId="2" fillId="6" borderId="0" xfId="2" applyFill="1" applyBorder="1" applyAlignment="1" applyProtection="1"/>
    <xf numFmtId="0" fontId="17" fillId="6" borderId="4" xfId="2" applyFont="1" applyFill="1" applyBorder="1" applyAlignment="1" applyProtection="1">
      <alignment horizontal="center"/>
    </xf>
    <xf numFmtId="0" fontId="19" fillId="6" borderId="0" xfId="2" applyFont="1" applyFill="1" applyBorder="1" applyAlignment="1" applyProtection="1">
      <alignment horizontal="center"/>
    </xf>
    <xf numFmtId="0" fontId="12" fillId="6" borderId="0" xfId="2" applyFont="1" applyFill="1" applyBorder="1" applyAlignment="1" applyProtection="1">
      <alignment horizontal="center"/>
      <protection locked="0"/>
    </xf>
    <xf numFmtId="0" fontId="31" fillId="6" borderId="13" xfId="2" applyFont="1" applyFill="1" applyBorder="1" applyAlignment="1" applyProtection="1">
      <alignment horizontal="left"/>
    </xf>
    <xf numFmtId="0" fontId="17" fillId="6" borderId="0" xfId="2" applyFont="1" applyFill="1" applyBorder="1" applyAlignment="1" applyProtection="1">
      <alignment horizontal="center"/>
    </xf>
    <xf numFmtId="0" fontId="19" fillId="6" borderId="0" xfId="2" applyFont="1" applyFill="1" applyBorder="1" applyAlignment="1" applyProtection="1">
      <alignment horizontal="left"/>
    </xf>
    <xf numFmtId="0" fontId="15" fillId="7" borderId="6" xfId="2" applyFont="1" applyFill="1" applyBorder="1" applyAlignment="1" applyProtection="1">
      <alignment horizontal="center"/>
    </xf>
    <xf numFmtId="0" fontId="12" fillId="6" borderId="24" xfId="2" applyFont="1" applyFill="1" applyBorder="1"/>
    <xf numFmtId="0" fontId="42" fillId="4" borderId="0" xfId="0" applyFont="1" applyFill="1" applyAlignment="1">
      <alignment horizontal="center"/>
    </xf>
    <xf numFmtId="0" fontId="44" fillId="4" borderId="0" xfId="0" applyFont="1" applyFill="1" applyBorder="1" applyAlignment="1" applyProtection="1">
      <alignment horizontal="center"/>
    </xf>
    <xf numFmtId="0" fontId="44" fillId="4" borderId="0" xfId="2" applyFont="1" applyFill="1" applyBorder="1" applyAlignment="1">
      <alignment horizontal="center"/>
    </xf>
    <xf numFmtId="0" fontId="46" fillId="6" borderId="0" xfId="2" applyFont="1" applyFill="1" applyBorder="1" applyAlignment="1">
      <alignment horizontal="left"/>
    </xf>
    <xf numFmtId="0" fontId="19" fillId="6" borderId="0" xfId="2" applyFont="1" applyFill="1" applyBorder="1" applyAlignment="1" applyProtection="1"/>
    <xf numFmtId="0" fontId="48" fillId="6" borderId="0" xfId="2" applyFont="1" applyFill="1" applyBorder="1" applyAlignment="1" applyProtection="1">
      <alignment vertical="center" wrapText="1"/>
    </xf>
    <xf numFmtId="0" fontId="17" fillId="6" borderId="0" xfId="2" applyFont="1" applyFill="1" applyBorder="1" applyAlignment="1" applyProtection="1">
      <alignment horizontal="right" wrapText="1"/>
    </xf>
    <xf numFmtId="0" fontId="16" fillId="4" borderId="29" xfId="2" applyFont="1" applyFill="1" applyBorder="1" applyAlignment="1" applyProtection="1">
      <alignment horizontal="center"/>
      <protection locked="0"/>
    </xf>
    <xf numFmtId="0" fontId="16" fillId="4" borderId="27" xfId="2" applyFont="1" applyFill="1" applyBorder="1" applyAlignment="1" applyProtection="1">
      <alignment horizontal="center"/>
      <protection hidden="1"/>
    </xf>
    <xf numFmtId="0" fontId="16" fillId="4" borderId="28" xfId="2" applyFont="1" applyFill="1" applyBorder="1" applyAlignment="1" applyProtection="1">
      <alignment horizontal="center"/>
      <protection locked="0"/>
    </xf>
    <xf numFmtId="0" fontId="16" fillId="4" borderId="31" xfId="2" applyFont="1" applyFill="1" applyBorder="1" applyAlignment="1" applyProtection="1">
      <alignment horizontal="center"/>
      <protection hidden="1"/>
    </xf>
    <xf numFmtId="0" fontId="16" fillId="4" borderId="20" xfId="2" applyFont="1" applyFill="1" applyBorder="1" applyAlignment="1" applyProtection="1">
      <alignment horizontal="center"/>
      <protection locked="0"/>
    </xf>
    <xf numFmtId="0" fontId="16" fillId="4" borderId="33" xfId="2" applyFont="1" applyFill="1" applyBorder="1" applyAlignment="1" applyProtection="1">
      <alignment horizontal="center"/>
      <protection hidden="1"/>
    </xf>
    <xf numFmtId="0" fontId="16" fillId="4" borderId="34" xfId="2" applyFont="1" applyFill="1" applyBorder="1" applyAlignment="1" applyProtection="1">
      <alignment horizontal="center"/>
      <protection locked="0"/>
    </xf>
    <xf numFmtId="0" fontId="16" fillId="4" borderId="30" xfId="2" applyFont="1" applyFill="1" applyBorder="1" applyAlignment="1" applyProtection="1">
      <alignment horizontal="center"/>
      <protection locked="0"/>
    </xf>
    <xf numFmtId="0" fontId="16" fillId="4" borderId="18" xfId="2" applyFont="1" applyFill="1" applyBorder="1" applyAlignment="1" applyProtection="1">
      <alignment horizontal="center"/>
      <protection locked="0"/>
    </xf>
    <xf numFmtId="0" fontId="16" fillId="4" borderId="32" xfId="2" applyFont="1" applyFill="1" applyBorder="1" applyAlignment="1" applyProtection="1">
      <alignment horizontal="center"/>
      <protection locked="0"/>
    </xf>
    <xf numFmtId="0" fontId="16" fillId="4" borderId="35" xfId="2" applyFont="1" applyFill="1" applyBorder="1" applyAlignment="1" applyProtection="1">
      <alignment horizontal="center"/>
      <protection locked="0"/>
    </xf>
    <xf numFmtId="0" fontId="16" fillId="4" borderId="36" xfId="2" applyFont="1" applyFill="1" applyBorder="1" applyAlignment="1" applyProtection="1">
      <alignment horizontal="center"/>
      <protection locked="0"/>
    </xf>
    <xf numFmtId="0" fontId="19" fillId="6" borderId="0" xfId="2" applyFont="1" applyFill="1" applyBorder="1" applyAlignment="1" applyProtection="1">
      <alignment textRotation="90"/>
    </xf>
    <xf numFmtId="0" fontId="44" fillId="4" borderId="0" xfId="0" applyFont="1" applyFill="1" applyBorder="1" applyAlignment="1" applyProtection="1">
      <alignment horizontal="left"/>
    </xf>
    <xf numFmtId="0" fontId="42" fillId="0" borderId="0" xfId="2" applyFont="1" applyProtection="1"/>
    <xf numFmtId="0" fontId="44" fillId="3" borderId="0" xfId="2" applyFont="1" applyFill="1"/>
    <xf numFmtId="0" fontId="44" fillId="0" borderId="0" xfId="2" applyFont="1" applyProtection="1"/>
    <xf numFmtId="0" fontId="2" fillId="6" borderId="0" xfId="2" applyFill="1" applyBorder="1" applyAlignment="1" applyProtection="1"/>
    <xf numFmtId="0" fontId="47" fillId="6" borderId="0" xfId="2" applyFont="1" applyFill="1" applyBorder="1" applyAlignment="1">
      <alignment horizontal="left"/>
    </xf>
    <xf numFmtId="0" fontId="2" fillId="4" borderId="26" xfId="2" applyFont="1" applyFill="1" applyBorder="1" applyAlignment="1" applyProtection="1">
      <alignment horizontal="center"/>
    </xf>
    <xf numFmtId="0" fontId="2" fillId="4" borderId="37" xfId="2" applyFont="1" applyFill="1" applyBorder="1" applyAlignment="1" applyProtection="1">
      <alignment horizontal="center"/>
    </xf>
    <xf numFmtId="0" fontId="2" fillId="4" borderId="24" xfId="2" applyFont="1" applyFill="1" applyBorder="1" applyAlignment="1" applyProtection="1">
      <alignment horizontal="center"/>
    </xf>
    <xf numFmtId="0" fontId="3" fillId="3" borderId="0" xfId="2" applyFont="1" applyFill="1" applyAlignment="1">
      <alignment vertical="top" wrapText="1"/>
    </xf>
    <xf numFmtId="0" fontId="3" fillId="3" borderId="0" xfId="2" applyFont="1" applyFill="1" applyAlignment="1">
      <alignment horizontal="left" vertical="top" wrapText="1"/>
    </xf>
    <xf numFmtId="0" fontId="42" fillId="3" borderId="0" xfId="2" applyFont="1" applyFill="1" applyProtection="1"/>
    <xf numFmtId="0" fontId="16" fillId="8" borderId="18" xfId="0" applyFont="1" applyFill="1" applyBorder="1" applyAlignment="1" applyProtection="1">
      <alignment horizontal="center"/>
      <protection locked="0"/>
    </xf>
    <xf numFmtId="0" fontId="16" fillId="8" borderId="39" xfId="0" applyFont="1" applyFill="1" applyBorder="1" applyAlignment="1" applyProtection="1">
      <alignment horizontal="center"/>
      <protection locked="0"/>
    </xf>
    <xf numFmtId="0" fontId="13" fillId="6" borderId="4" xfId="2" applyFont="1" applyFill="1" applyBorder="1" applyAlignment="1" applyProtection="1">
      <alignment horizontal="center" vertical="center"/>
    </xf>
    <xf numFmtId="0" fontId="13" fillId="6" borderId="15" xfId="2" applyFont="1" applyFill="1" applyBorder="1" applyAlignment="1" applyProtection="1">
      <alignment horizontal="center" vertical="center"/>
    </xf>
    <xf numFmtId="9" fontId="34" fillId="6" borderId="2" xfId="3" applyFont="1" applyFill="1" applyBorder="1" applyAlignment="1" applyProtection="1">
      <alignment horizontal="center"/>
    </xf>
    <xf numFmtId="9" fontId="34" fillId="6" borderId="4" xfId="3" applyFont="1" applyFill="1" applyBorder="1" applyAlignment="1" applyProtection="1">
      <alignment horizontal="center"/>
    </xf>
    <xf numFmtId="9" fontId="34" fillId="6" borderId="5" xfId="3" applyFont="1" applyFill="1" applyBorder="1" applyAlignment="1" applyProtection="1">
      <alignment horizontal="center"/>
    </xf>
    <xf numFmtId="9" fontId="34" fillId="6" borderId="9" xfId="3" applyFont="1" applyFill="1" applyBorder="1" applyAlignment="1" applyProtection="1">
      <alignment horizontal="center"/>
    </xf>
    <xf numFmtId="0" fontId="14" fillId="3" borderId="0" xfId="2" applyFont="1" applyFill="1" applyAlignment="1">
      <alignment wrapText="1"/>
    </xf>
    <xf numFmtId="0" fontId="18" fillId="6" borderId="6" xfId="2" applyFont="1" applyFill="1" applyBorder="1" applyAlignment="1" applyProtection="1">
      <alignment horizontal="center"/>
    </xf>
    <xf numFmtId="0" fontId="18" fillId="6" borderId="8" xfId="2" applyFont="1" applyFill="1" applyBorder="1" applyAlignment="1" applyProtection="1">
      <alignment horizontal="center"/>
    </xf>
    <xf numFmtId="9" fontId="34" fillId="6" borderId="13" xfId="3" applyFont="1" applyFill="1" applyBorder="1" applyAlignment="1" applyProtection="1">
      <alignment horizontal="center"/>
    </xf>
    <xf numFmtId="9" fontId="34" fillId="6" borderId="15" xfId="3" applyFont="1" applyFill="1" applyBorder="1" applyAlignment="1" applyProtection="1">
      <alignment horizontal="center"/>
    </xf>
    <xf numFmtId="0" fontId="35" fillId="3" borderId="0" xfId="2" applyFont="1" applyFill="1" applyBorder="1" applyAlignment="1">
      <alignment horizontal="center"/>
    </xf>
    <xf numFmtId="0" fontId="12" fillId="6" borderId="0" xfId="2" applyFont="1" applyFill="1" applyBorder="1" applyAlignment="1" applyProtection="1">
      <alignment horizontal="center"/>
      <protection locked="0"/>
    </xf>
    <xf numFmtId="0" fontId="15" fillId="6" borderId="5" xfId="2" applyFont="1" applyFill="1" applyBorder="1" applyAlignment="1" applyProtection="1">
      <alignment horizontal="left"/>
    </xf>
    <xf numFmtId="0" fontId="15" fillId="6" borderId="0" xfId="2" applyFont="1" applyFill="1" applyBorder="1" applyAlignment="1" applyProtection="1">
      <alignment horizontal="left"/>
    </xf>
    <xf numFmtId="0" fontId="12" fillId="4" borderId="10" xfId="2" applyFont="1" applyFill="1" applyBorder="1" applyAlignment="1" applyProtection="1">
      <alignment horizontal="left"/>
      <protection locked="0"/>
    </xf>
    <xf numFmtId="0" fontId="12" fillId="4" borderId="11" xfId="2" applyFont="1" applyFill="1" applyBorder="1" applyAlignment="1" applyProtection="1">
      <alignment horizontal="left"/>
      <protection locked="0"/>
    </xf>
    <xf numFmtId="0" fontId="12" fillId="4" borderId="12" xfId="2" applyFont="1" applyFill="1" applyBorder="1" applyAlignment="1" applyProtection="1">
      <alignment horizontal="left"/>
      <protection locked="0"/>
    </xf>
    <xf numFmtId="0" fontId="12" fillId="4" borderId="13" xfId="2" applyFont="1" applyFill="1" applyBorder="1" applyAlignment="1" applyProtection="1">
      <alignment horizontal="left"/>
      <protection locked="0"/>
    </xf>
    <xf numFmtId="0" fontId="12" fillId="4" borderId="14" xfId="2" applyFont="1" applyFill="1" applyBorder="1" applyAlignment="1" applyProtection="1">
      <alignment horizontal="left"/>
      <protection locked="0"/>
    </xf>
    <xf numFmtId="0" fontId="12" fillId="4" borderId="15" xfId="2" applyFont="1" applyFill="1" applyBorder="1" applyAlignment="1" applyProtection="1">
      <alignment horizontal="left"/>
      <protection locked="0"/>
    </xf>
    <xf numFmtId="0" fontId="31" fillId="6" borderId="13" xfId="2" applyFont="1" applyFill="1" applyBorder="1" applyAlignment="1" applyProtection="1">
      <alignment horizontal="left"/>
    </xf>
    <xf numFmtId="0" fontId="31" fillId="6" borderId="14" xfId="2" applyFont="1" applyFill="1" applyBorder="1" applyAlignment="1" applyProtection="1">
      <alignment horizontal="left"/>
    </xf>
    <xf numFmtId="0" fontId="13" fillId="6" borderId="24" xfId="2" applyFont="1" applyFill="1" applyBorder="1" applyAlignment="1" applyProtection="1">
      <alignment horizontal="center" vertical="center"/>
    </xf>
    <xf numFmtId="0" fontId="13" fillId="6" borderId="25" xfId="2" applyFont="1" applyFill="1" applyBorder="1" applyAlignment="1" applyProtection="1">
      <alignment horizontal="center" vertical="center"/>
    </xf>
    <xf numFmtId="0" fontId="13" fillId="6" borderId="2" xfId="2" applyFont="1" applyFill="1" applyBorder="1" applyAlignment="1" applyProtection="1">
      <alignment horizontal="center" vertical="center" wrapText="1"/>
    </xf>
    <xf numFmtId="0" fontId="13" fillId="6" borderId="4" xfId="2" applyFont="1" applyFill="1" applyBorder="1" applyAlignment="1" applyProtection="1">
      <alignment horizontal="center" vertical="center" wrapText="1"/>
    </xf>
    <xf numFmtId="0" fontId="13" fillId="6" borderId="13" xfId="2" applyFont="1" applyFill="1" applyBorder="1" applyAlignment="1" applyProtection="1">
      <alignment horizontal="center" vertical="center" wrapText="1"/>
    </xf>
    <xf numFmtId="0" fontId="13" fillId="6" borderId="15" xfId="2" applyFont="1" applyFill="1" applyBorder="1" applyAlignment="1" applyProtection="1">
      <alignment horizontal="center" vertical="center" wrapText="1"/>
    </xf>
    <xf numFmtId="0" fontId="13" fillId="6" borderId="2" xfId="2" applyFont="1" applyFill="1" applyBorder="1" applyAlignment="1" applyProtection="1">
      <alignment horizontal="center" vertical="center"/>
    </xf>
    <xf numFmtId="0" fontId="13" fillId="6" borderId="13" xfId="2" applyFont="1" applyFill="1" applyBorder="1" applyAlignment="1" applyProtection="1">
      <alignment horizontal="center" vertical="center"/>
    </xf>
    <xf numFmtId="0" fontId="13" fillId="6" borderId="3" xfId="2" applyFont="1" applyFill="1" applyBorder="1" applyAlignment="1" applyProtection="1">
      <alignment horizontal="center" vertical="center"/>
    </xf>
    <xf numFmtId="0" fontId="13" fillId="6" borderId="14" xfId="2" applyFont="1" applyFill="1" applyBorder="1" applyAlignment="1" applyProtection="1">
      <alignment horizontal="center" vertical="center"/>
    </xf>
    <xf numFmtId="0" fontId="28" fillId="6" borderId="0" xfId="2" applyFont="1" applyFill="1" applyBorder="1" applyAlignment="1" applyProtection="1">
      <alignment horizontal="left"/>
      <protection locked="0"/>
    </xf>
    <xf numFmtId="9" fontId="22" fillId="6" borderId="19" xfId="3" applyFont="1" applyFill="1" applyBorder="1" applyAlignment="1">
      <alignment horizontal="center"/>
    </xf>
    <xf numFmtId="9" fontId="22" fillId="6" borderId="20" xfId="3" applyFont="1" applyFill="1" applyBorder="1" applyAlignment="1">
      <alignment horizontal="center"/>
    </xf>
    <xf numFmtId="9" fontId="22" fillId="6" borderId="21" xfId="3" applyFont="1" applyFill="1" applyBorder="1" applyAlignment="1">
      <alignment horizontal="center"/>
    </xf>
    <xf numFmtId="9" fontId="22" fillId="6" borderId="19" xfId="3" applyFont="1" applyFill="1" applyBorder="1" applyAlignment="1" applyProtection="1">
      <alignment horizontal="center"/>
    </xf>
    <xf numFmtId="9" fontId="22" fillId="6" borderId="20" xfId="3" applyFont="1" applyFill="1" applyBorder="1" applyAlignment="1" applyProtection="1">
      <alignment horizontal="center"/>
    </xf>
    <xf numFmtId="9" fontId="22" fillId="6" borderId="22" xfId="3" applyFont="1" applyFill="1" applyBorder="1" applyAlignment="1" applyProtection="1">
      <alignment horizontal="center"/>
    </xf>
    <xf numFmtId="9" fontId="22" fillId="6" borderId="23" xfId="3" applyFont="1" applyFill="1" applyBorder="1" applyAlignment="1" applyProtection="1">
      <alignment horizontal="center"/>
    </xf>
    <xf numFmtId="9" fontId="22" fillId="6" borderId="18" xfId="3" applyFont="1" applyFill="1" applyBorder="1" applyAlignment="1" applyProtection="1">
      <alignment horizontal="center"/>
    </xf>
    <xf numFmtId="9" fontId="22" fillId="6" borderId="21" xfId="3" applyFont="1" applyFill="1" applyBorder="1" applyAlignment="1" applyProtection="1">
      <alignment horizontal="center"/>
    </xf>
    <xf numFmtId="0" fontId="12" fillId="4" borderId="18" xfId="2" applyFont="1" applyFill="1" applyBorder="1" applyAlignment="1" applyProtection="1">
      <alignment horizontal="center"/>
      <protection locked="0"/>
    </xf>
    <xf numFmtId="0" fontId="22" fillId="6" borderId="19" xfId="2" applyFont="1" applyFill="1" applyBorder="1" applyAlignment="1" applyProtection="1">
      <alignment horizontal="center"/>
    </xf>
    <xf numFmtId="0" fontId="22" fillId="6" borderId="20" xfId="2" applyFont="1" applyFill="1" applyBorder="1" applyAlignment="1" applyProtection="1">
      <alignment horizontal="center"/>
    </xf>
    <xf numFmtId="0" fontId="19" fillId="6" borderId="3" xfId="2" applyFont="1" applyFill="1" applyBorder="1" applyAlignment="1" applyProtection="1">
      <alignment horizontal="center"/>
    </xf>
    <xf numFmtId="0" fontId="19" fillId="6" borderId="0" xfId="2" applyFont="1" applyFill="1" applyBorder="1" applyAlignment="1" applyProtection="1">
      <alignment horizontal="center"/>
    </xf>
    <xf numFmtId="0" fontId="20" fillId="6" borderId="0" xfId="2" applyFont="1" applyFill="1" applyBorder="1" applyAlignment="1" applyProtection="1">
      <alignment horizontal="left" wrapText="1"/>
    </xf>
    <xf numFmtId="0" fontId="17" fillId="6" borderId="6" xfId="2" applyFont="1" applyFill="1" applyBorder="1" applyAlignment="1" applyProtection="1">
      <alignment horizontal="center"/>
    </xf>
    <xf numFmtId="0" fontId="17" fillId="6" borderId="3" xfId="2" applyFont="1" applyFill="1" applyBorder="1" applyAlignment="1" applyProtection="1">
      <alignment horizontal="center"/>
    </xf>
    <xf numFmtId="0" fontId="17" fillId="6" borderId="7" xfId="2" applyFont="1" applyFill="1" applyBorder="1" applyAlignment="1" applyProtection="1">
      <alignment horizontal="center"/>
    </xf>
    <xf numFmtId="0" fontId="17" fillId="6" borderId="4" xfId="2" applyFont="1" applyFill="1" applyBorder="1" applyAlignment="1" applyProtection="1">
      <alignment horizontal="center"/>
    </xf>
    <xf numFmtId="0" fontId="17" fillId="6" borderId="8" xfId="2" applyFont="1" applyFill="1" applyBorder="1" applyAlignment="1" applyProtection="1">
      <alignment horizontal="center"/>
    </xf>
    <xf numFmtId="0" fontId="14" fillId="6" borderId="0" xfId="2" applyFont="1" applyFill="1" applyBorder="1" applyAlignment="1" applyProtection="1">
      <alignment horizontal="left"/>
    </xf>
    <xf numFmtId="0" fontId="2" fillId="6" borderId="0" xfId="2" applyFill="1" applyBorder="1" applyAlignment="1" applyProtection="1"/>
    <xf numFmtId="0" fontId="13" fillId="6" borderId="2" xfId="2" applyFont="1" applyFill="1" applyBorder="1" applyAlignment="1" applyProtection="1"/>
    <xf numFmtId="0" fontId="13" fillId="6" borderId="3" xfId="2" applyFont="1" applyFill="1" applyBorder="1" applyAlignment="1" applyProtection="1"/>
    <xf numFmtId="0" fontId="2" fillId="6" borderId="3" xfId="2" applyFont="1" applyFill="1" applyBorder="1" applyAlignment="1" applyProtection="1">
      <alignment horizontal="center"/>
      <protection locked="0"/>
    </xf>
    <xf numFmtId="0" fontId="13" fillId="6" borderId="3" xfId="2" applyFont="1" applyFill="1" applyBorder="1" applyAlignment="1" applyProtection="1">
      <alignment horizontal="right"/>
    </xf>
    <xf numFmtId="0" fontId="13" fillId="6" borderId="3" xfId="2" applyFont="1" applyFill="1" applyBorder="1" applyAlignment="1">
      <alignment horizontal="right"/>
    </xf>
    <xf numFmtId="0" fontId="13" fillId="6" borderId="0" xfId="2" applyFont="1" applyFill="1" applyBorder="1" applyAlignment="1" applyProtection="1"/>
    <xf numFmtId="0" fontId="2" fillId="4" borderId="6" xfId="2" applyFont="1" applyFill="1" applyBorder="1" applyAlignment="1" applyProtection="1">
      <alignment horizontal="center"/>
      <protection locked="0"/>
    </xf>
    <xf numFmtId="0" fontId="2" fillId="4" borderId="7" xfId="2" applyFont="1" applyFill="1" applyBorder="1" applyAlignment="1" applyProtection="1">
      <alignment horizontal="center"/>
      <protection locked="0"/>
    </xf>
    <xf numFmtId="0" fontId="2" fillId="4" borderId="8" xfId="2" applyFont="1" applyFill="1" applyBorder="1" applyAlignment="1" applyProtection="1">
      <alignment horizontal="center"/>
      <protection locked="0"/>
    </xf>
    <xf numFmtId="0" fontId="13" fillId="6" borderId="0" xfId="2" applyFont="1" applyFill="1" applyBorder="1" applyAlignment="1" applyProtection="1">
      <alignment horizontal="right"/>
    </xf>
    <xf numFmtId="0" fontId="13" fillId="6" borderId="0" xfId="2" applyFont="1" applyFill="1" applyBorder="1" applyAlignment="1">
      <alignment horizontal="right"/>
    </xf>
    <xf numFmtId="0" fontId="13" fillId="6" borderId="0" xfId="2" applyFont="1" applyFill="1" applyBorder="1" applyAlignment="1" applyProtection="1">
      <alignment horizontal="left"/>
    </xf>
    <xf numFmtId="14" fontId="2" fillId="4" borderId="6" xfId="2" applyNumberFormat="1" applyFont="1" applyFill="1" applyBorder="1" applyAlignment="1" applyProtection="1">
      <alignment horizontal="center"/>
      <protection locked="0"/>
    </xf>
    <xf numFmtId="14" fontId="2" fillId="4" borderId="7" xfId="2" applyNumberFormat="1" applyFont="1" applyFill="1" applyBorder="1" applyAlignment="1" applyProtection="1">
      <alignment horizontal="center"/>
      <protection locked="0"/>
    </xf>
    <xf numFmtId="14" fontId="2" fillId="4" borderId="8" xfId="2" applyNumberFormat="1" applyFont="1" applyFill="1" applyBorder="1" applyAlignment="1" applyProtection="1">
      <alignment horizontal="center"/>
      <protection locked="0"/>
    </xf>
    <xf numFmtId="0" fontId="13" fillId="6" borderId="0" xfId="2" applyFont="1" applyFill="1" applyBorder="1" applyAlignment="1" applyProtection="1">
      <alignment horizontal="right" wrapText="1"/>
    </xf>
    <xf numFmtId="0" fontId="2" fillId="4" borderId="10" xfId="2" applyFont="1" applyFill="1" applyBorder="1" applyAlignment="1" applyProtection="1">
      <alignment horizontal="center"/>
      <protection locked="0"/>
    </xf>
    <xf numFmtId="0" fontId="2" fillId="4" borderId="11" xfId="2" applyFont="1" applyFill="1" applyBorder="1" applyAlignment="1" applyProtection="1">
      <alignment horizontal="center"/>
      <protection locked="0"/>
    </xf>
    <xf numFmtId="0" fontId="2" fillId="4" borderId="12" xfId="2" applyFont="1" applyFill="1" applyBorder="1" applyAlignment="1" applyProtection="1">
      <alignment horizontal="center"/>
      <protection locked="0"/>
    </xf>
    <xf numFmtId="20" fontId="2" fillId="4" borderId="6" xfId="2" applyNumberFormat="1" applyFont="1" applyFill="1" applyBorder="1" applyAlignment="1" applyProtection="1">
      <alignment horizontal="center"/>
      <protection locked="0"/>
    </xf>
    <xf numFmtId="0" fontId="2" fillId="4" borderId="13" xfId="2" applyFont="1" applyFill="1" applyBorder="1" applyAlignment="1" applyProtection="1">
      <alignment horizontal="center"/>
      <protection locked="0"/>
    </xf>
    <xf numFmtId="0" fontId="2" fillId="4" borderId="14" xfId="2" applyFont="1" applyFill="1" applyBorder="1" applyAlignment="1" applyProtection="1">
      <alignment horizontal="center"/>
      <protection locked="0"/>
    </xf>
    <xf numFmtId="0" fontId="2" fillId="4" borderId="15" xfId="2" applyFont="1" applyFill="1" applyBorder="1" applyAlignment="1" applyProtection="1">
      <alignment horizontal="center"/>
      <protection locked="0"/>
    </xf>
    <xf numFmtId="0" fontId="14" fillId="3" borderId="0" xfId="2" applyFont="1" applyFill="1" applyBorder="1" applyAlignment="1">
      <alignment wrapText="1"/>
    </xf>
    <xf numFmtId="0" fontId="17" fillId="0" borderId="0" xfId="2" applyFont="1" applyBorder="1" applyAlignment="1">
      <alignment wrapText="1"/>
    </xf>
    <xf numFmtId="0" fontId="36" fillId="3" borderId="6" xfId="2" applyFont="1" applyFill="1" applyBorder="1" applyAlignment="1">
      <alignment horizontal="center" wrapText="1"/>
    </xf>
    <xf numFmtId="0" fontId="36" fillId="3" borderId="7" xfId="2" applyFont="1" applyFill="1" applyBorder="1" applyAlignment="1">
      <alignment horizontal="center" wrapText="1"/>
    </xf>
    <xf numFmtId="0" fontId="36" fillId="3" borderId="8" xfId="2" applyFont="1" applyFill="1" applyBorder="1" applyAlignment="1">
      <alignment horizontal="center" wrapText="1"/>
    </xf>
    <xf numFmtId="0" fontId="38" fillId="3" borderId="0" xfId="2" applyFont="1" applyFill="1" applyBorder="1" applyAlignment="1">
      <alignment horizontal="center"/>
    </xf>
    <xf numFmtId="0" fontId="38" fillId="3" borderId="0" xfId="2" applyFont="1" applyFill="1" applyBorder="1" applyAlignment="1">
      <alignment horizontal="center" vertical="center"/>
    </xf>
    <xf numFmtId="0" fontId="40" fillId="0" borderId="0" xfId="2" applyFont="1" applyAlignment="1">
      <alignment horizontal="center" vertical="center"/>
    </xf>
    <xf numFmtId="0" fontId="38" fillId="3" borderId="2" xfId="2" applyFont="1" applyFill="1" applyBorder="1" applyAlignment="1">
      <alignment horizontal="center"/>
    </xf>
    <xf numFmtId="0" fontId="39" fillId="3" borderId="3" xfId="2" applyFont="1" applyFill="1" applyBorder="1" applyAlignment="1">
      <alignment horizontal="center"/>
    </xf>
    <xf numFmtId="0" fontId="39" fillId="3" borderId="4" xfId="2" applyFont="1" applyFill="1" applyBorder="1" applyAlignment="1">
      <alignment horizontal="center"/>
    </xf>
    <xf numFmtId="0" fontId="6" fillId="3" borderId="5" xfId="2" applyFont="1" applyFill="1" applyBorder="1" applyAlignment="1">
      <alignment horizontal="center"/>
    </xf>
    <xf numFmtId="0" fontId="6" fillId="0" borderId="0" xfId="2" applyFont="1" applyBorder="1" applyAlignment="1">
      <alignment horizontal="center"/>
    </xf>
    <xf numFmtId="0" fontId="6" fillId="0" borderId="9" xfId="2" applyFont="1" applyBorder="1" applyAlignment="1">
      <alignment horizontal="center"/>
    </xf>
    <xf numFmtId="0" fontId="41" fillId="3" borderId="5" xfId="2" applyFont="1" applyFill="1" applyBorder="1" applyAlignment="1">
      <alignment horizontal="center"/>
    </xf>
    <xf numFmtId="0" fontId="19" fillId="6" borderId="0" xfId="2" applyFont="1" applyFill="1" applyBorder="1" applyAlignment="1" applyProtection="1">
      <alignment horizontal="right" vertical="top" textRotation="90"/>
    </xf>
    <xf numFmtId="0" fontId="12" fillId="4" borderId="2" xfId="2" applyFont="1" applyFill="1" applyBorder="1" applyAlignment="1" applyProtection="1">
      <alignment horizontal="left" vertical="top" wrapText="1"/>
      <protection locked="0"/>
    </xf>
    <xf numFmtId="0" fontId="12" fillId="4" borderId="3" xfId="2" applyFont="1" applyFill="1" applyBorder="1" applyAlignment="1" applyProtection="1">
      <alignment horizontal="left" vertical="top" wrapText="1"/>
      <protection locked="0"/>
    </xf>
    <xf numFmtId="0" fontId="12" fillId="4" borderId="4" xfId="2" applyFont="1" applyFill="1" applyBorder="1" applyAlignment="1" applyProtection="1">
      <alignment horizontal="left" vertical="top" wrapText="1"/>
      <protection locked="0"/>
    </xf>
    <xf numFmtId="0" fontId="12" fillId="4" borderId="5" xfId="2" applyFont="1" applyFill="1" applyBorder="1" applyAlignment="1" applyProtection="1">
      <alignment horizontal="left" vertical="top" wrapText="1"/>
      <protection locked="0"/>
    </xf>
    <xf numFmtId="0" fontId="12" fillId="4" borderId="0" xfId="2" applyFont="1" applyFill="1" applyBorder="1" applyAlignment="1" applyProtection="1">
      <alignment horizontal="left" vertical="top" wrapText="1"/>
      <protection locked="0"/>
    </xf>
    <xf numFmtId="0" fontId="12" fillId="4" borderId="9" xfId="2" applyFont="1" applyFill="1" applyBorder="1" applyAlignment="1" applyProtection="1">
      <alignment horizontal="left" vertical="top" wrapText="1"/>
      <protection locked="0"/>
    </xf>
    <xf numFmtId="0" fontId="12" fillId="4" borderId="13" xfId="2" applyFont="1" applyFill="1" applyBorder="1" applyAlignment="1" applyProtection="1">
      <alignment horizontal="left" vertical="top" wrapText="1"/>
      <protection locked="0"/>
    </xf>
    <xf numFmtId="0" fontId="12" fillId="4" borderId="14" xfId="2" applyFont="1" applyFill="1" applyBorder="1" applyAlignment="1" applyProtection="1">
      <alignment horizontal="left" vertical="top" wrapText="1"/>
      <protection locked="0"/>
    </xf>
    <xf numFmtId="0" fontId="12" fillId="4" borderId="15" xfId="2" applyFont="1" applyFill="1" applyBorder="1" applyAlignment="1" applyProtection="1">
      <alignment horizontal="left" vertical="top" wrapText="1"/>
      <protection locked="0"/>
    </xf>
    <xf numFmtId="0" fontId="19" fillId="6" borderId="0" xfId="2" applyFont="1" applyFill="1" applyBorder="1" applyAlignment="1" applyProtection="1">
      <alignment horizontal="right" textRotation="90"/>
    </xf>
    <xf numFmtId="0" fontId="43" fillId="6" borderId="0" xfId="2" applyFont="1" applyFill="1" applyBorder="1" applyAlignment="1">
      <alignment horizontal="left" vertical="top" wrapText="1"/>
    </xf>
    <xf numFmtId="0" fontId="2" fillId="6" borderId="0" xfId="2" applyFont="1" applyFill="1" applyBorder="1" applyAlignment="1" applyProtection="1">
      <alignment horizontal="left" vertical="top" wrapText="1"/>
    </xf>
    <xf numFmtId="0" fontId="28" fillId="6" borderId="3" xfId="2" applyFont="1" applyFill="1" applyBorder="1" applyAlignment="1" applyProtection="1">
      <alignment horizontal="left"/>
    </xf>
    <xf numFmtId="0" fontId="29" fillId="6" borderId="3" xfId="2" applyFont="1" applyFill="1" applyBorder="1" applyAlignment="1" applyProtection="1"/>
    <xf numFmtId="0" fontId="17" fillId="6" borderId="0" xfId="2" applyFont="1" applyFill="1" applyBorder="1" applyAlignment="1" applyProtection="1">
      <alignment horizontal="center"/>
    </xf>
    <xf numFmtId="0" fontId="15" fillId="7" borderId="6" xfId="2" applyFont="1" applyFill="1" applyBorder="1" applyAlignment="1" applyProtection="1">
      <alignment horizontal="center"/>
    </xf>
    <xf numFmtId="0" fontId="15" fillId="7" borderId="7" xfId="2" applyFont="1" applyFill="1" applyBorder="1" applyAlignment="1" applyProtection="1">
      <alignment horizontal="center"/>
    </xf>
    <xf numFmtId="0" fontId="15" fillId="7" borderId="8" xfId="2" applyFont="1" applyFill="1" applyBorder="1" applyAlignment="1" applyProtection="1">
      <alignment horizontal="center"/>
    </xf>
    <xf numFmtId="0" fontId="17" fillId="6" borderId="0" xfId="2" applyFont="1" applyFill="1" applyBorder="1" applyAlignment="1" applyProtection="1">
      <alignment horizontal="right" vertical="center" wrapText="1"/>
    </xf>
    <xf numFmtId="0" fontId="23" fillId="6" borderId="0" xfId="2" applyFont="1" applyFill="1" applyAlignment="1" applyProtection="1">
      <alignment horizontal="left" vertical="top" wrapText="1"/>
    </xf>
    <xf numFmtId="0" fontId="23" fillId="6" borderId="0" xfId="2" applyFont="1" applyFill="1" applyBorder="1" applyAlignment="1" applyProtection="1">
      <alignment horizontal="left" vertical="top" wrapText="1"/>
    </xf>
  </cellXfs>
  <cellStyles count="18">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Input" xfId="1" builtinId="20"/>
    <cellStyle name="Normal" xfId="0" builtinId="0"/>
    <cellStyle name="Normal 2" xfId="2"/>
    <cellStyle name="Porcentagem 2" xfId="3"/>
  </cellStyles>
  <dxfs count="0"/>
  <tableStyles count="0" defaultTableStyle="TableStyleMedium2" defaultPivotStyle="PivotStyleLight16"/>
  <colors>
    <mruColors>
      <color rgb="FF9A7A85"/>
      <color rgb="FF9AAC82"/>
      <color rgb="FF808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externalLink" Target="externalLinks/externalLink1.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 Id="rId9"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75" b="1" i="0" u="none" strike="noStrike" baseline="0">
                <a:solidFill>
                  <a:srgbClr val="000000"/>
                </a:solidFill>
                <a:latin typeface="Arial Narrow"/>
                <a:ea typeface="Arial Narrow"/>
                <a:cs typeface="Arial Narrow"/>
              </a:defRPr>
            </a:pPr>
            <a:r>
              <a:rPr lang="pt-BR" sz="1025" b="1" i="0" u="none" strike="noStrike" baseline="0">
                <a:solidFill>
                  <a:srgbClr val="000000"/>
                </a:solidFill>
                <a:latin typeface="Arial Narrow"/>
              </a:rPr>
              <a:t>Percentagem média de cobertura de substrato para RCB Taquaruçu, 2 m 20/02/2019</a:t>
            </a:r>
            <a:endParaRPr lang="pt-BR" sz="1025" b="1" i="0" u="none" strike="noStrike" baseline="0">
              <a:solidFill>
                <a:srgbClr val="3366FF"/>
              </a:solidFill>
              <a:latin typeface="Arial Narrow"/>
            </a:endParaRPr>
          </a:p>
        </c:rich>
      </c:tx>
      <c:layout>
        <c:manualLayout>
          <c:xMode val="edge"/>
          <c:yMode val="edge"/>
          <c:x val="0.124045844269466"/>
          <c:y val="0.0349209845272837"/>
        </c:manualLayout>
      </c:layout>
      <c:overlay val="0"/>
      <c:spPr>
        <a:noFill/>
        <a:ln w="25400">
          <a:noFill/>
        </a:ln>
      </c:spPr>
    </c:title>
    <c:autoTitleDeleted val="0"/>
    <c:plotArea>
      <c:layout>
        <c:manualLayout>
          <c:layoutTarget val="inner"/>
          <c:xMode val="edge"/>
          <c:yMode val="edge"/>
          <c:x val="0.127862595419847"/>
          <c:y val="0.203175233058138"/>
          <c:w val="0.845419847328245"/>
          <c:h val="0.644446442356282"/>
        </c:manualLayout>
      </c:layout>
      <c:barChart>
        <c:barDir val="col"/>
        <c:grouping val="clustered"/>
        <c:varyColors val="0"/>
        <c:ser>
          <c:idx val="0"/>
          <c:order val="0"/>
          <c:spPr>
            <a:solidFill>
              <a:srgbClr val="8080FF"/>
            </a:solidFill>
            <a:ln w="12700">
              <a:solidFill>
                <a:srgbClr val="000000"/>
              </a:solidFill>
              <a:prstDash val="solid"/>
            </a:ln>
            <a:effectLst>
              <a:outerShdw dist="35560" dir="2700000" algn="ctr" rotWithShape="0">
                <a:srgbClr val="000000"/>
              </a:outerShdw>
            </a:effectLst>
          </c:spPr>
          <c:invertIfNegative val="0"/>
          <c:dPt>
            <c:idx val="0"/>
            <c:invertIfNegative val="0"/>
            <c:bubble3D val="0"/>
            <c:spPr>
              <a:solidFill>
                <a:schemeClr val="accent6"/>
              </a:solidFill>
              <a:ln w="12700">
                <a:solidFill>
                  <a:srgbClr val="000000"/>
                </a:solidFill>
                <a:prstDash val="solid"/>
              </a:ln>
              <a:effectLst>
                <a:outerShdw dist="35560" dir="2700000" algn="ctr" rotWithShape="0">
                  <a:srgbClr val="000000"/>
                </a:outerShdw>
              </a:effectLst>
            </c:spPr>
          </c:dPt>
          <c:dPt>
            <c:idx val="1"/>
            <c:invertIfNegative val="0"/>
            <c:bubble3D val="0"/>
            <c:spPr>
              <a:solidFill>
                <a:schemeClr val="accent2">
                  <a:lumMod val="75000"/>
                </a:schemeClr>
              </a:solidFill>
              <a:ln w="12700">
                <a:solidFill>
                  <a:srgbClr val="000000"/>
                </a:solidFill>
                <a:prstDash val="solid"/>
              </a:ln>
              <a:effectLst>
                <a:outerShdw dist="35560" dir="2700000" algn="ctr" rotWithShape="0">
                  <a:srgbClr val="000000"/>
                </a:outerShdw>
              </a:effectLst>
            </c:spPr>
          </c:dPt>
          <c:dPt>
            <c:idx val="2"/>
            <c:invertIfNegative val="0"/>
            <c:bubble3D val="0"/>
            <c:spPr>
              <a:solidFill>
                <a:schemeClr val="accent3">
                  <a:lumMod val="50000"/>
                </a:schemeClr>
              </a:solidFill>
              <a:ln w="12700">
                <a:solidFill>
                  <a:srgbClr val="000000"/>
                </a:solidFill>
                <a:prstDash val="solid"/>
              </a:ln>
              <a:effectLst>
                <a:outerShdw dist="35560" dir="2700000" algn="ctr" rotWithShape="0">
                  <a:srgbClr val="000000"/>
                </a:outerShdw>
              </a:effectLst>
            </c:spPr>
          </c:dPt>
          <c:dPt>
            <c:idx val="3"/>
            <c:invertIfNegative val="0"/>
            <c:bubble3D val="0"/>
            <c:spPr>
              <a:solidFill>
                <a:schemeClr val="bg2">
                  <a:lumMod val="50000"/>
                </a:schemeClr>
              </a:solidFill>
              <a:ln w="12700">
                <a:solidFill>
                  <a:srgbClr val="000000"/>
                </a:solidFill>
                <a:prstDash val="solid"/>
              </a:ln>
              <a:effectLst>
                <a:outerShdw dist="35560" dir="2700000" algn="ctr" rotWithShape="0">
                  <a:srgbClr val="000000"/>
                </a:outerShdw>
              </a:effectLst>
            </c:spPr>
          </c:dPt>
          <c:dPt>
            <c:idx val="4"/>
            <c:invertIfNegative val="0"/>
            <c:bubble3D val="0"/>
            <c:spPr>
              <a:solidFill>
                <a:srgbClr val="00B050"/>
              </a:solidFill>
              <a:ln w="12700">
                <a:solidFill>
                  <a:srgbClr val="000000"/>
                </a:solidFill>
                <a:prstDash val="solid"/>
              </a:ln>
              <a:effectLst>
                <a:outerShdw dist="35560" dir="2700000" algn="ctr" rotWithShape="0">
                  <a:srgbClr val="000000"/>
                </a:outerShdw>
              </a:effectLst>
            </c:spPr>
          </c:dPt>
          <c:dPt>
            <c:idx val="5"/>
            <c:invertIfNegative val="0"/>
            <c:bubble3D val="0"/>
            <c:spPr>
              <a:solidFill>
                <a:srgbClr val="823677"/>
              </a:solidFill>
              <a:ln w="12700">
                <a:solidFill>
                  <a:srgbClr val="000000"/>
                </a:solidFill>
                <a:prstDash val="solid"/>
              </a:ln>
              <a:effectLst>
                <a:outerShdw dist="35560" dir="2700000" algn="ctr" rotWithShape="0">
                  <a:srgbClr val="000000"/>
                </a:outerShdw>
              </a:effectLst>
            </c:spPr>
          </c:dPt>
          <c:dPt>
            <c:idx val="6"/>
            <c:invertIfNegative val="0"/>
            <c:bubble3D val="0"/>
            <c:spPr>
              <a:solidFill>
                <a:srgbClr val="9AAC82"/>
              </a:solidFill>
              <a:ln w="12700">
                <a:solidFill>
                  <a:srgbClr val="000000"/>
                </a:solidFill>
                <a:prstDash val="solid"/>
              </a:ln>
              <a:effectLst>
                <a:outerShdw dist="35560" dir="2700000" algn="ctr" rotWithShape="0">
                  <a:srgbClr val="000000"/>
                </a:outerShdw>
              </a:effectLst>
            </c:spPr>
          </c:dPt>
          <c:dPt>
            <c:idx val="7"/>
            <c:invertIfNegative val="0"/>
            <c:bubble3D val="0"/>
            <c:spPr>
              <a:solidFill>
                <a:srgbClr val="9A7A85"/>
              </a:solidFill>
              <a:ln w="12700">
                <a:solidFill>
                  <a:srgbClr val="000000"/>
                </a:solidFill>
                <a:prstDash val="solid"/>
              </a:ln>
              <a:effectLst>
                <a:outerShdw dist="35560" dir="2700000" algn="ctr" rotWithShape="0">
                  <a:srgbClr val="000000"/>
                </a:outerShdw>
              </a:effectLst>
            </c:spPr>
          </c:dPt>
          <c:dPt>
            <c:idx val="8"/>
            <c:invertIfNegative val="0"/>
            <c:bubble3D val="0"/>
            <c:spPr>
              <a:solidFill>
                <a:schemeClr val="accent4"/>
              </a:solidFill>
              <a:ln w="12700">
                <a:solidFill>
                  <a:srgbClr val="000000"/>
                </a:solidFill>
                <a:prstDash val="solid"/>
              </a:ln>
              <a:effectLst>
                <a:outerShdw dist="35560" dir="2700000" algn="ctr" rotWithShape="0">
                  <a:srgbClr val="000000"/>
                </a:outerShdw>
              </a:effectLst>
            </c:spPr>
          </c:dPt>
          <c:dPt>
            <c:idx val="9"/>
            <c:invertIfNegative val="0"/>
            <c:bubble3D val="0"/>
            <c:spPr>
              <a:solidFill>
                <a:schemeClr val="accent6">
                  <a:lumMod val="20000"/>
                  <a:lumOff val="80000"/>
                </a:schemeClr>
              </a:solidFill>
              <a:ln w="12700">
                <a:solidFill>
                  <a:srgbClr val="000000"/>
                </a:solidFill>
                <a:prstDash val="solid"/>
              </a:ln>
              <a:effectLst>
                <a:outerShdw dist="35560" dir="2700000" algn="ctr" rotWithShape="0">
                  <a:srgbClr val="000000"/>
                </a:outerShdw>
              </a:effectLst>
            </c:spPr>
          </c:dPt>
          <c:dPt>
            <c:idx val="10"/>
            <c:invertIfNegative val="0"/>
            <c:bubble3D val="0"/>
            <c:spPr>
              <a:solidFill>
                <a:srgbClr val="FFFF00"/>
              </a:solidFill>
              <a:ln w="12700">
                <a:solidFill>
                  <a:srgbClr val="000000"/>
                </a:solidFill>
                <a:prstDash val="solid"/>
              </a:ln>
              <a:effectLst>
                <a:outerShdw dist="35560" dir="2700000" algn="ctr" rotWithShape="0">
                  <a:srgbClr val="000000"/>
                </a:outerShdw>
              </a:effectLst>
            </c:spPr>
          </c:dPt>
          <c:dPt>
            <c:idx val="11"/>
            <c:invertIfNegative val="0"/>
            <c:bubble3D val="0"/>
            <c:spPr>
              <a:solidFill>
                <a:srgbClr val="9AAC82"/>
              </a:solidFill>
              <a:ln w="12700">
                <a:solidFill>
                  <a:srgbClr val="000000"/>
                </a:solidFill>
                <a:prstDash val="solid"/>
              </a:ln>
              <a:effectLst>
                <a:outerShdw dist="35560" dir="2700000" algn="ctr" rotWithShape="0">
                  <a:srgbClr val="000000"/>
                </a:outerShdw>
              </a:effectLst>
            </c:spPr>
          </c:dPt>
          <c:dPt>
            <c:idx val="12"/>
            <c:invertIfNegative val="0"/>
            <c:bubble3D val="0"/>
            <c:spPr>
              <a:solidFill>
                <a:schemeClr val="bg1">
                  <a:lumMod val="65000"/>
                </a:schemeClr>
              </a:solidFill>
              <a:ln w="12700">
                <a:solidFill>
                  <a:srgbClr val="000000"/>
                </a:solidFill>
                <a:prstDash val="solid"/>
              </a:ln>
              <a:effectLst>
                <a:outerShdw dist="35560" dir="2700000" algn="ctr" rotWithShape="0">
                  <a:srgbClr val="000000"/>
                </a:outerShdw>
              </a:effectLst>
            </c:spPr>
          </c:dPt>
          <c:dPt>
            <c:idx val="13"/>
            <c:invertIfNegative val="0"/>
            <c:bubble3D val="0"/>
            <c:spPr>
              <a:solidFill>
                <a:schemeClr val="tx1">
                  <a:lumMod val="75000"/>
                  <a:lumOff val="25000"/>
                </a:schemeClr>
              </a:solidFill>
              <a:ln w="12700">
                <a:solidFill>
                  <a:srgbClr val="000000"/>
                </a:solidFill>
                <a:prstDash val="solid"/>
              </a:ln>
              <a:effectLst>
                <a:outerShdw dist="35560" dir="2700000" algn="ctr" rotWithShape="0">
                  <a:srgbClr val="000000"/>
                </a:outerShdw>
              </a:effectLst>
            </c:spPr>
          </c:dPt>
          <c:errBars>
            <c:errBarType val="both"/>
            <c:errValType val="cust"/>
            <c:noEndCap val="0"/>
            <c:plus>
              <c:numRef>
                <c:f>GRÁFICOS!$D$9:$D$22</c:f>
                <c:numCache>
                  <c:formatCode>General</c:formatCode>
                  <c:ptCount val="14"/>
                  <c:pt idx="0">
                    <c:v>0.0</c:v>
                  </c:pt>
                  <c:pt idx="1">
                    <c:v>0.0375</c:v>
                  </c:pt>
                  <c:pt idx="2">
                    <c:v>0.0</c:v>
                  </c:pt>
                  <c:pt idx="3">
                    <c:v>0.0</c:v>
                  </c:pt>
                  <c:pt idx="4">
                    <c:v>0.0</c:v>
                  </c:pt>
                  <c:pt idx="5">
                    <c:v>0.0503891109268658</c:v>
                  </c:pt>
                  <c:pt idx="6">
                    <c:v>0.0770551750371122</c:v>
                  </c:pt>
                  <c:pt idx="7">
                    <c:v>0.00721687836487032</c:v>
                  </c:pt>
                  <c:pt idx="8">
                    <c:v>0.0</c:v>
                  </c:pt>
                  <c:pt idx="9">
                    <c:v>0.0</c:v>
                  </c:pt>
                  <c:pt idx="10">
                    <c:v>0.0</c:v>
                  </c:pt>
                  <c:pt idx="11">
                    <c:v>0.0</c:v>
                  </c:pt>
                  <c:pt idx="12">
                    <c:v>0.0</c:v>
                  </c:pt>
                  <c:pt idx="13">
                    <c:v>0.0562499999999999</c:v>
                  </c:pt>
                </c:numCache>
              </c:numRef>
            </c:plus>
            <c:minus>
              <c:numRef>
                <c:f>GRÁFICOS!$D$9:$D$22</c:f>
                <c:numCache>
                  <c:formatCode>General</c:formatCode>
                  <c:ptCount val="14"/>
                  <c:pt idx="0">
                    <c:v>0.0</c:v>
                  </c:pt>
                  <c:pt idx="1">
                    <c:v>0.0375</c:v>
                  </c:pt>
                  <c:pt idx="2">
                    <c:v>0.0</c:v>
                  </c:pt>
                  <c:pt idx="3">
                    <c:v>0.0</c:v>
                  </c:pt>
                  <c:pt idx="4">
                    <c:v>0.0</c:v>
                  </c:pt>
                  <c:pt idx="5">
                    <c:v>0.0503891109268658</c:v>
                  </c:pt>
                  <c:pt idx="6">
                    <c:v>0.0770551750371122</c:v>
                  </c:pt>
                  <c:pt idx="7">
                    <c:v>0.00721687836487032</c:v>
                  </c:pt>
                  <c:pt idx="8">
                    <c:v>0.0</c:v>
                  </c:pt>
                  <c:pt idx="9">
                    <c:v>0.0</c:v>
                  </c:pt>
                  <c:pt idx="10">
                    <c:v>0.0</c:v>
                  </c:pt>
                  <c:pt idx="11">
                    <c:v>0.0</c:v>
                  </c:pt>
                  <c:pt idx="12">
                    <c:v>0.0</c:v>
                  </c:pt>
                  <c:pt idx="13">
                    <c:v>0.0562499999999999</c:v>
                  </c:pt>
                </c:numCache>
              </c:numRef>
            </c:minus>
            <c:spPr>
              <a:ln w="12700">
                <a:solidFill>
                  <a:srgbClr val="000000"/>
                </a:solidFill>
                <a:prstDash val="solid"/>
              </a:ln>
            </c:spPr>
          </c:errBars>
          <c:cat>
            <c:strRef>
              <c:f>GRÁFICOS!$B$9:$B$22</c:f>
              <c:strCache>
                <c:ptCount val="14"/>
                <c:pt idx="0">
                  <c:v>ACA</c:v>
                </c:pt>
                <c:pt idx="1">
                  <c:v>ACI</c:v>
                </c:pt>
                <c:pt idx="2">
                  <c:v>AF</c:v>
                </c:pt>
                <c:pt idx="3">
                  <c:v>TURF</c:v>
                </c:pt>
                <c:pt idx="4">
                  <c:v>NIA</c:v>
                </c:pt>
                <c:pt idx="5">
                  <c:v>CM</c:v>
                </c:pt>
                <c:pt idx="6">
                  <c:v>CD</c:v>
                </c:pt>
                <c:pt idx="7">
                  <c:v>CRM</c:v>
                </c:pt>
                <c:pt idx="8">
                  <c:v>SP</c:v>
                </c:pt>
                <c:pt idx="9">
                  <c:v>OT</c:v>
                </c:pt>
                <c:pt idx="10">
                  <c:v>AR</c:v>
                </c:pt>
                <c:pt idx="11">
                  <c:v>AG</c:v>
                </c:pt>
                <c:pt idx="12">
                  <c:v>CC</c:v>
                </c:pt>
                <c:pt idx="13">
                  <c:v>RC</c:v>
                </c:pt>
              </c:strCache>
            </c:strRef>
          </c:cat>
          <c:val>
            <c:numRef>
              <c:f>GRÁFICOS!$C$9:$C$22</c:f>
              <c:numCache>
                <c:formatCode>0%</c:formatCode>
                <c:ptCount val="14"/>
                <c:pt idx="0">
                  <c:v>0.0</c:v>
                </c:pt>
                <c:pt idx="1">
                  <c:v>0.0375</c:v>
                </c:pt>
                <c:pt idx="2">
                  <c:v>0.05</c:v>
                </c:pt>
                <c:pt idx="3">
                  <c:v>0.0</c:v>
                </c:pt>
                <c:pt idx="4">
                  <c:v>0.0</c:v>
                </c:pt>
                <c:pt idx="5">
                  <c:v>0.25625</c:v>
                </c:pt>
                <c:pt idx="6">
                  <c:v>0.375</c:v>
                </c:pt>
                <c:pt idx="7">
                  <c:v>0.0125</c:v>
                </c:pt>
                <c:pt idx="8">
                  <c:v>0.0</c:v>
                </c:pt>
                <c:pt idx="9">
                  <c:v>0.0</c:v>
                </c:pt>
                <c:pt idx="10">
                  <c:v>0.0</c:v>
                </c:pt>
                <c:pt idx="11">
                  <c:v>0.0</c:v>
                </c:pt>
                <c:pt idx="12">
                  <c:v>0.0</c:v>
                </c:pt>
                <c:pt idx="13">
                  <c:v>0.26875</c:v>
                </c:pt>
              </c:numCache>
            </c:numRef>
          </c:val>
        </c:ser>
        <c:dLbls>
          <c:showLegendKey val="0"/>
          <c:showVal val="0"/>
          <c:showCatName val="0"/>
          <c:showSerName val="0"/>
          <c:showPercent val="0"/>
          <c:showBubbleSize val="0"/>
        </c:dLbls>
        <c:gapWidth val="150"/>
        <c:axId val="-2145964760"/>
        <c:axId val="-2145961352"/>
      </c:barChart>
      <c:catAx>
        <c:axId val="-214596476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Narrow"/>
                <a:ea typeface="Arial Narrow"/>
                <a:cs typeface="Arial Narrow"/>
              </a:defRPr>
            </a:pPr>
            <a:endParaRPr lang="en-US"/>
          </a:p>
        </c:txPr>
        <c:crossAx val="-2145961352"/>
        <c:crosses val="autoZero"/>
        <c:auto val="1"/>
        <c:lblAlgn val="ctr"/>
        <c:lblOffset val="100"/>
        <c:tickLblSkip val="1"/>
        <c:tickMarkSkip val="1"/>
        <c:noMultiLvlLbl val="0"/>
      </c:catAx>
      <c:valAx>
        <c:axId val="-2145961352"/>
        <c:scaling>
          <c:orientation val="minMax"/>
        </c:scaling>
        <c:delete val="0"/>
        <c:axPos val="l"/>
        <c:majorGridlines>
          <c:spPr>
            <a:ln w="3175">
              <a:solidFill>
                <a:srgbClr val="FFFFFF"/>
              </a:solidFill>
              <a:prstDash val="solid"/>
            </a:ln>
          </c:spPr>
        </c:majorGridlines>
        <c:title>
          <c:tx>
            <c:rich>
              <a:bodyPr/>
              <a:lstStyle/>
              <a:p>
                <a:pPr>
                  <a:defRPr sz="875" b="1" i="0" u="none" strike="noStrike" baseline="0">
                    <a:solidFill>
                      <a:srgbClr val="000000"/>
                    </a:solidFill>
                    <a:latin typeface="Arial Narrow"/>
                    <a:ea typeface="Arial Narrow"/>
                    <a:cs typeface="Arial Narrow"/>
                  </a:defRPr>
                </a:pPr>
                <a:r>
                  <a:rPr lang="pt-BR"/>
                  <a:t>Cobertura média + - EP</a:t>
                </a:r>
              </a:p>
            </c:rich>
          </c:tx>
          <c:layout>
            <c:manualLayout>
              <c:xMode val="edge"/>
              <c:yMode val="edge"/>
              <c:x val="0.032756605424322"/>
              <c:y val="0.251023989134225"/>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Narrow"/>
                <a:ea typeface="Arial Narrow"/>
                <a:cs typeface="Arial Narrow"/>
              </a:defRPr>
            </a:pPr>
            <a:endParaRPr lang="en-US"/>
          </a:p>
        </c:txPr>
        <c:crossAx val="-2145964760"/>
        <c:crosses val="autoZero"/>
        <c:crossBetween val="between"/>
      </c:valAx>
      <c:spPr>
        <a:solidFill>
          <a:srgbClr val="FFFFFF"/>
        </a:solidFill>
        <a:ln w="25400">
          <a:noFill/>
        </a:ln>
      </c:spPr>
    </c:plotArea>
    <c:plotVisOnly val="1"/>
    <c:dispBlanksAs val="gap"/>
    <c:showDLblsOverMax val="0"/>
  </c:chart>
  <c:spPr>
    <a:solidFill>
      <a:srgbClr val="FFFFFF"/>
    </a:solidFill>
    <a:ln w="9525">
      <a:noFill/>
    </a:ln>
  </c:spPr>
  <c:txPr>
    <a:bodyPr/>
    <a:lstStyle/>
    <a:p>
      <a:pPr>
        <a:defRPr sz="875" b="1" i="0" u="none" strike="noStrike" baseline="0">
          <a:solidFill>
            <a:srgbClr val="000000"/>
          </a:solidFill>
          <a:latin typeface="Arial Narrow"/>
          <a:ea typeface="Arial Narrow"/>
          <a:cs typeface="Arial Narrow"/>
        </a:defRPr>
      </a:pPr>
      <a:endParaRPr lang="en-US"/>
    </a:p>
  </c:txPr>
  <c:printSettings>
    <c:headerFooter alignWithMargins="0"/>
    <c:pageMargins b="1.0" l="0.75" r="0.75" t="1.0" header="0.5" footer="0.5"/>
    <c:pageSetup paperSize="0" orientation="landscape" horizontalDpi="-4" verticalDpi="-4"/>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75" b="1" i="0" u="none" strike="noStrike" baseline="0">
                <a:solidFill>
                  <a:srgbClr val="000000"/>
                </a:solidFill>
                <a:latin typeface="Arial Narrow"/>
                <a:ea typeface="Arial Narrow"/>
                <a:cs typeface="Arial Narrow"/>
              </a:defRPr>
            </a:pPr>
            <a:r>
              <a:rPr lang="pt-BR" sz="1050" b="1" i="0" u="none" strike="noStrike" baseline="0">
                <a:solidFill>
                  <a:srgbClr val="000000"/>
                </a:solidFill>
                <a:latin typeface="Arial Narrow"/>
              </a:rPr>
              <a:t>Percentagem média de cobertura viva para RCB Taquaruçi, 2 m 20/02/2019</a:t>
            </a:r>
            <a:endParaRPr lang="pt-BR" sz="1050" b="1" i="0" u="none" strike="noStrike" baseline="0">
              <a:solidFill>
                <a:srgbClr val="3366FF"/>
              </a:solidFill>
              <a:latin typeface="Arial Narrow"/>
            </a:endParaRPr>
          </a:p>
        </c:rich>
      </c:tx>
      <c:layout>
        <c:manualLayout>
          <c:xMode val="edge"/>
          <c:yMode val="edge"/>
          <c:x val="0.18587361706369"/>
          <c:y val="0.0184503407662277"/>
        </c:manualLayout>
      </c:layout>
      <c:overlay val="0"/>
      <c:spPr>
        <a:noFill/>
        <a:ln w="25400">
          <a:noFill/>
        </a:ln>
      </c:spPr>
    </c:title>
    <c:autoTitleDeleted val="0"/>
    <c:plotArea>
      <c:layout>
        <c:manualLayout>
          <c:layoutTarget val="inner"/>
          <c:xMode val="edge"/>
          <c:yMode val="edge"/>
          <c:x val="0.197026022304833"/>
          <c:y val="0.26199309197902"/>
          <c:w val="0.78810408921933"/>
          <c:h val="0.623626930354636"/>
        </c:manualLayout>
      </c:layout>
      <c:barChart>
        <c:barDir val="col"/>
        <c:grouping val="clustered"/>
        <c:varyColors val="0"/>
        <c:ser>
          <c:idx val="0"/>
          <c:order val="0"/>
          <c:spPr>
            <a:solidFill>
              <a:srgbClr val="8080FF"/>
            </a:solidFill>
            <a:ln w="12700">
              <a:solidFill>
                <a:srgbClr val="000000"/>
              </a:solidFill>
              <a:prstDash val="solid"/>
            </a:ln>
            <a:effectLst>
              <a:outerShdw dist="35560" dir="2700000" algn="ctr" rotWithShape="0">
                <a:srgbClr val="000000"/>
              </a:outerShdw>
            </a:effectLst>
          </c:spPr>
          <c:invertIfNegative val="0"/>
          <c:dPt>
            <c:idx val="0"/>
            <c:invertIfNegative val="0"/>
            <c:bubble3D val="0"/>
            <c:spPr>
              <a:solidFill>
                <a:schemeClr val="accent2">
                  <a:lumMod val="60000"/>
                  <a:lumOff val="40000"/>
                </a:schemeClr>
              </a:solidFill>
              <a:ln w="12700">
                <a:solidFill>
                  <a:srgbClr val="000000"/>
                </a:solidFill>
                <a:prstDash val="solid"/>
              </a:ln>
              <a:effectLst>
                <a:outerShdw dist="35560" dir="2700000" algn="ctr" rotWithShape="0">
                  <a:srgbClr val="000000"/>
                </a:outerShdw>
              </a:effectLst>
            </c:spPr>
          </c:dPt>
          <c:dPt>
            <c:idx val="1"/>
            <c:invertIfNegative val="0"/>
            <c:bubble3D val="0"/>
            <c:spPr>
              <a:solidFill>
                <a:srgbClr val="823677"/>
              </a:solidFill>
              <a:ln w="12700">
                <a:solidFill>
                  <a:srgbClr val="000000"/>
                </a:solidFill>
                <a:prstDash val="solid"/>
              </a:ln>
              <a:effectLst>
                <a:outerShdw dist="35560" dir="2700000" algn="ctr" rotWithShape="0">
                  <a:srgbClr val="000000"/>
                </a:outerShdw>
              </a:effectLst>
            </c:spPr>
          </c:dPt>
          <c:dPt>
            <c:idx val="2"/>
            <c:invertIfNegative val="0"/>
            <c:bubble3D val="0"/>
            <c:spPr>
              <a:solidFill>
                <a:schemeClr val="accent6"/>
              </a:solidFill>
              <a:ln w="12700">
                <a:solidFill>
                  <a:srgbClr val="000000"/>
                </a:solidFill>
                <a:prstDash val="solid"/>
              </a:ln>
              <a:effectLst>
                <a:outerShdw dist="35560" dir="2700000" algn="ctr" rotWithShape="0">
                  <a:srgbClr val="000000"/>
                </a:outerShdw>
              </a:effectLst>
            </c:spPr>
          </c:dPt>
          <c:dPt>
            <c:idx val="3"/>
            <c:invertIfNegative val="0"/>
            <c:bubble3D val="0"/>
            <c:spPr>
              <a:solidFill>
                <a:schemeClr val="accent2">
                  <a:lumMod val="75000"/>
                </a:schemeClr>
              </a:solidFill>
              <a:ln w="12700">
                <a:solidFill>
                  <a:srgbClr val="000000"/>
                </a:solidFill>
                <a:prstDash val="solid"/>
              </a:ln>
              <a:effectLst>
                <a:outerShdw dist="35560" dir="2700000" algn="ctr" rotWithShape="0">
                  <a:srgbClr val="000000"/>
                </a:outerShdw>
              </a:effectLst>
            </c:spPr>
          </c:dPt>
          <c:dPt>
            <c:idx val="4"/>
            <c:invertIfNegative val="0"/>
            <c:bubble3D val="0"/>
            <c:spPr>
              <a:solidFill>
                <a:schemeClr val="accent3">
                  <a:lumMod val="50000"/>
                </a:schemeClr>
              </a:solidFill>
              <a:ln w="12700">
                <a:solidFill>
                  <a:srgbClr val="000000"/>
                </a:solidFill>
                <a:prstDash val="solid"/>
              </a:ln>
              <a:effectLst>
                <a:outerShdw dist="35560" dir="2700000" algn="ctr" rotWithShape="0">
                  <a:srgbClr val="000000"/>
                </a:outerShdw>
              </a:effectLst>
            </c:spPr>
          </c:dPt>
          <c:dPt>
            <c:idx val="5"/>
            <c:invertIfNegative val="0"/>
            <c:bubble3D val="0"/>
            <c:spPr>
              <a:solidFill>
                <a:schemeClr val="bg2">
                  <a:lumMod val="50000"/>
                </a:schemeClr>
              </a:solidFill>
              <a:ln w="12700">
                <a:solidFill>
                  <a:srgbClr val="000000"/>
                </a:solidFill>
                <a:prstDash val="solid"/>
              </a:ln>
              <a:effectLst>
                <a:outerShdw dist="35560" dir="2700000" algn="ctr" rotWithShape="0">
                  <a:srgbClr val="000000"/>
                </a:outerShdw>
              </a:effectLst>
            </c:spPr>
          </c:dPt>
          <c:dPt>
            <c:idx val="6"/>
            <c:invertIfNegative val="0"/>
            <c:bubble3D val="0"/>
            <c:spPr>
              <a:solidFill>
                <a:srgbClr val="00B050"/>
              </a:solidFill>
              <a:ln w="12700">
                <a:solidFill>
                  <a:srgbClr val="000000"/>
                </a:solidFill>
                <a:prstDash val="solid"/>
              </a:ln>
              <a:effectLst>
                <a:outerShdw dist="35560" dir="2700000" algn="ctr" rotWithShape="0">
                  <a:srgbClr val="000000"/>
                </a:outerShdw>
              </a:effectLst>
            </c:spPr>
          </c:dPt>
          <c:dPt>
            <c:idx val="7"/>
            <c:invertIfNegative val="0"/>
            <c:bubble3D val="0"/>
            <c:spPr>
              <a:solidFill>
                <a:schemeClr val="accent4"/>
              </a:solidFill>
              <a:ln w="12700">
                <a:solidFill>
                  <a:srgbClr val="000000"/>
                </a:solidFill>
                <a:prstDash val="solid"/>
              </a:ln>
              <a:effectLst>
                <a:outerShdw dist="35560" dir="2700000" algn="ctr" rotWithShape="0">
                  <a:srgbClr val="000000"/>
                </a:outerShdw>
              </a:effectLst>
            </c:spPr>
          </c:dPt>
          <c:dPt>
            <c:idx val="8"/>
            <c:invertIfNegative val="0"/>
            <c:bubble3D val="0"/>
            <c:spPr>
              <a:solidFill>
                <a:schemeClr val="accent6">
                  <a:lumMod val="20000"/>
                  <a:lumOff val="80000"/>
                </a:schemeClr>
              </a:solidFill>
              <a:ln w="12700">
                <a:solidFill>
                  <a:srgbClr val="000000"/>
                </a:solidFill>
                <a:prstDash val="solid"/>
              </a:ln>
              <a:effectLst>
                <a:outerShdw dist="35560" dir="2700000" algn="ctr" rotWithShape="0">
                  <a:srgbClr val="000000"/>
                </a:outerShdw>
              </a:effectLst>
            </c:spPr>
          </c:dPt>
          <c:errBars>
            <c:errBarType val="both"/>
            <c:errValType val="cust"/>
            <c:noEndCap val="0"/>
            <c:plus>
              <c:numRef>
                <c:f>GRÁFICOS!$D$28:$D$36</c:f>
                <c:numCache>
                  <c:formatCode>General</c:formatCode>
                  <c:ptCount val="9"/>
                  <c:pt idx="0">
                    <c:v>0.0770551750371122</c:v>
                  </c:pt>
                  <c:pt idx="1">
                    <c:v>0.0503891109268658</c:v>
                  </c:pt>
                  <c:pt idx="2">
                    <c:v>0.0</c:v>
                  </c:pt>
                  <c:pt idx="3">
                    <c:v>0.0375</c:v>
                  </c:pt>
                  <c:pt idx="4">
                    <c:v>0.0</c:v>
                  </c:pt>
                  <c:pt idx="5">
                    <c:v>0.0</c:v>
                  </c:pt>
                  <c:pt idx="6">
                    <c:v>0.0</c:v>
                  </c:pt>
                  <c:pt idx="7">
                    <c:v>0.0</c:v>
                  </c:pt>
                  <c:pt idx="8">
                    <c:v>0.0</c:v>
                  </c:pt>
                </c:numCache>
              </c:numRef>
            </c:plus>
            <c:minus>
              <c:numRef>
                <c:f>GRÁFICOS!$D$28:$D$36</c:f>
                <c:numCache>
                  <c:formatCode>General</c:formatCode>
                  <c:ptCount val="9"/>
                  <c:pt idx="0">
                    <c:v>0.0770551750371122</c:v>
                  </c:pt>
                  <c:pt idx="1">
                    <c:v>0.0503891109268658</c:v>
                  </c:pt>
                  <c:pt idx="2">
                    <c:v>0.0</c:v>
                  </c:pt>
                  <c:pt idx="3">
                    <c:v>0.0375</c:v>
                  </c:pt>
                  <c:pt idx="4">
                    <c:v>0.0</c:v>
                  </c:pt>
                  <c:pt idx="5">
                    <c:v>0.0</c:v>
                  </c:pt>
                  <c:pt idx="6">
                    <c:v>0.0</c:v>
                  </c:pt>
                  <c:pt idx="7">
                    <c:v>0.0</c:v>
                  </c:pt>
                  <c:pt idx="8">
                    <c:v>0.0</c:v>
                  </c:pt>
                </c:numCache>
              </c:numRef>
            </c:minus>
            <c:spPr>
              <a:ln w="12700">
                <a:solidFill>
                  <a:srgbClr val="000000"/>
                </a:solidFill>
                <a:prstDash val="solid"/>
              </a:ln>
            </c:spPr>
          </c:errBars>
          <c:cat>
            <c:strRef>
              <c:f>GRÁFICOS!$B$28:$B$36</c:f>
              <c:strCache>
                <c:ptCount val="9"/>
                <c:pt idx="0">
                  <c:v>CD</c:v>
                </c:pt>
                <c:pt idx="1">
                  <c:v>CM</c:v>
                </c:pt>
                <c:pt idx="2">
                  <c:v>ACA</c:v>
                </c:pt>
                <c:pt idx="3">
                  <c:v>ACI</c:v>
                </c:pt>
                <c:pt idx="4">
                  <c:v>AF</c:v>
                </c:pt>
                <c:pt idx="5">
                  <c:v>TURF</c:v>
                </c:pt>
                <c:pt idx="6">
                  <c:v>NIA</c:v>
                </c:pt>
                <c:pt idx="7">
                  <c:v>SP</c:v>
                </c:pt>
                <c:pt idx="8">
                  <c:v>OT</c:v>
                </c:pt>
              </c:strCache>
            </c:strRef>
          </c:cat>
          <c:val>
            <c:numRef>
              <c:f>GRÁFICOS!$C$28:$C$36</c:f>
              <c:numCache>
                <c:formatCode>0%</c:formatCode>
                <c:ptCount val="9"/>
                <c:pt idx="0">
                  <c:v>0.375</c:v>
                </c:pt>
                <c:pt idx="1">
                  <c:v>0.25625</c:v>
                </c:pt>
                <c:pt idx="2">
                  <c:v>0.0</c:v>
                </c:pt>
                <c:pt idx="3">
                  <c:v>0.0375</c:v>
                </c:pt>
                <c:pt idx="4">
                  <c:v>0.05</c:v>
                </c:pt>
                <c:pt idx="5">
                  <c:v>0.0</c:v>
                </c:pt>
                <c:pt idx="6">
                  <c:v>0.0</c:v>
                </c:pt>
                <c:pt idx="7">
                  <c:v>0.0</c:v>
                </c:pt>
                <c:pt idx="8">
                  <c:v>0.0</c:v>
                </c:pt>
              </c:numCache>
            </c:numRef>
          </c:val>
        </c:ser>
        <c:dLbls>
          <c:showLegendKey val="0"/>
          <c:showVal val="0"/>
          <c:showCatName val="0"/>
          <c:showSerName val="0"/>
          <c:showPercent val="0"/>
          <c:showBubbleSize val="0"/>
        </c:dLbls>
        <c:gapWidth val="150"/>
        <c:axId val="-2145909384"/>
        <c:axId val="-2145906024"/>
      </c:barChart>
      <c:catAx>
        <c:axId val="-214590938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Narrow"/>
                <a:ea typeface="Arial Narrow"/>
                <a:cs typeface="Arial Narrow"/>
              </a:defRPr>
            </a:pPr>
            <a:endParaRPr lang="en-US"/>
          </a:p>
        </c:txPr>
        <c:crossAx val="-2145906024"/>
        <c:crosses val="autoZero"/>
        <c:auto val="1"/>
        <c:lblAlgn val="ctr"/>
        <c:lblOffset val="100"/>
        <c:tickLblSkip val="1"/>
        <c:tickMarkSkip val="1"/>
        <c:noMultiLvlLbl val="0"/>
      </c:catAx>
      <c:valAx>
        <c:axId val="-2145906024"/>
        <c:scaling>
          <c:orientation val="minMax"/>
        </c:scaling>
        <c:delete val="0"/>
        <c:axPos val="l"/>
        <c:majorGridlines>
          <c:spPr>
            <a:ln w="3175">
              <a:solidFill>
                <a:srgbClr val="FFFFFF"/>
              </a:solidFill>
              <a:prstDash val="solid"/>
            </a:ln>
          </c:spPr>
        </c:majorGridlines>
        <c:title>
          <c:tx>
            <c:rich>
              <a:bodyPr/>
              <a:lstStyle/>
              <a:p>
                <a:pPr>
                  <a:defRPr sz="875" b="1" i="0" u="none" strike="noStrike" baseline="0">
                    <a:solidFill>
                      <a:srgbClr val="000000"/>
                    </a:solidFill>
                    <a:latin typeface="Arial Narrow"/>
                    <a:ea typeface="Arial Narrow"/>
                    <a:cs typeface="Arial Narrow"/>
                  </a:defRPr>
                </a:pPr>
                <a:r>
                  <a:rPr lang="pt-BR"/>
                  <a:t>Cobertura  média  + - EP</a:t>
                </a:r>
              </a:p>
            </c:rich>
          </c:tx>
          <c:layout>
            <c:manualLayout>
              <c:xMode val="edge"/>
              <c:yMode val="edge"/>
              <c:x val="0.0185873284826738"/>
              <c:y val="0.2546130263128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Narrow"/>
                <a:ea typeface="Arial Narrow"/>
                <a:cs typeface="Arial Narrow"/>
              </a:defRPr>
            </a:pPr>
            <a:endParaRPr lang="en-US"/>
          </a:p>
        </c:txPr>
        <c:crossAx val="-2145909384"/>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9525">
      <a:noFill/>
    </a:ln>
  </c:spPr>
  <c:txPr>
    <a:bodyPr/>
    <a:lstStyle/>
    <a:p>
      <a:pPr>
        <a:defRPr sz="875" b="1" i="0" u="none" strike="noStrike" baseline="0">
          <a:solidFill>
            <a:srgbClr val="000000"/>
          </a:solidFill>
          <a:latin typeface="Arial Narrow"/>
          <a:ea typeface="Arial Narrow"/>
          <a:cs typeface="Arial Narrow"/>
        </a:defRPr>
      </a:pPr>
      <a:endParaRPr lang="en-US"/>
    </a:p>
  </c:txPr>
  <c:printSettings>
    <c:headerFooter alignWithMargins="0"/>
    <c:pageMargins b="1.0" l="0.75" r="0.75" t="1.0"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50" b="1" i="0" u="none" strike="noStrike" baseline="0">
                <a:solidFill>
                  <a:srgbClr val="000000"/>
                </a:solidFill>
                <a:latin typeface="Arial Narrow"/>
                <a:ea typeface="Arial Narrow"/>
                <a:cs typeface="Arial Narrow"/>
              </a:defRPr>
            </a:pPr>
            <a:r>
              <a:rPr lang="pt-BR" sz="1025" b="1" i="0" u="none" strike="noStrike" baseline="0">
                <a:solidFill>
                  <a:srgbClr val="000000"/>
                </a:solidFill>
                <a:latin typeface="Arial Narrow"/>
              </a:rPr>
              <a:t>Percentagem média de cobertura não viva para RCB Taquaruçu, 2 m  20/02/2019</a:t>
            </a:r>
            <a:endParaRPr lang="pt-BR" sz="1050" b="1" i="0" u="none" strike="noStrike" baseline="0">
              <a:solidFill>
                <a:srgbClr val="3366FF"/>
              </a:solidFill>
              <a:latin typeface="Arial Narrow"/>
            </a:endParaRPr>
          </a:p>
        </c:rich>
      </c:tx>
      <c:layout>
        <c:manualLayout>
          <c:xMode val="edge"/>
          <c:yMode val="edge"/>
          <c:x val="0.131783385734027"/>
          <c:y val="0.0221403006442376"/>
        </c:manualLayout>
      </c:layout>
      <c:overlay val="0"/>
      <c:spPr>
        <a:noFill/>
        <a:ln w="25400">
          <a:noFill/>
        </a:ln>
      </c:spPr>
    </c:title>
    <c:autoTitleDeleted val="0"/>
    <c:plotArea>
      <c:layout>
        <c:manualLayout>
          <c:layoutTarget val="inner"/>
          <c:xMode val="edge"/>
          <c:yMode val="edge"/>
          <c:x val="0.228430966253057"/>
          <c:y val="0.214562468229021"/>
          <c:w val="0.75194083068689"/>
          <c:h val="0.634372653795389"/>
        </c:manualLayout>
      </c:layout>
      <c:barChart>
        <c:barDir val="col"/>
        <c:grouping val="clustered"/>
        <c:varyColors val="0"/>
        <c:ser>
          <c:idx val="0"/>
          <c:order val="0"/>
          <c:spPr>
            <a:solidFill>
              <a:srgbClr val="8080FF"/>
            </a:solidFill>
            <a:ln w="12700">
              <a:solidFill>
                <a:srgbClr val="000000"/>
              </a:solidFill>
              <a:prstDash val="solid"/>
            </a:ln>
          </c:spPr>
          <c:invertIfNegative val="0"/>
          <c:dPt>
            <c:idx val="0"/>
            <c:invertIfNegative val="0"/>
            <c:bubble3D val="0"/>
            <c:spPr>
              <a:solidFill>
                <a:srgbClr val="9A7A85"/>
              </a:solidFill>
              <a:ln w="12700">
                <a:solidFill>
                  <a:srgbClr val="000000"/>
                </a:solidFill>
                <a:prstDash val="solid"/>
              </a:ln>
              <a:effectLst>
                <a:outerShdw dist="35921" dir="2700000" algn="br">
                  <a:srgbClr val="000000"/>
                </a:outerShdw>
              </a:effectLst>
            </c:spPr>
          </c:dPt>
          <c:dPt>
            <c:idx val="1"/>
            <c:invertIfNegative val="0"/>
            <c:bubble3D val="0"/>
            <c:spPr>
              <a:solidFill>
                <a:srgbClr val="FFFF00"/>
              </a:solidFill>
              <a:ln w="12700">
                <a:solidFill>
                  <a:srgbClr val="000000"/>
                </a:solidFill>
                <a:prstDash val="solid"/>
              </a:ln>
              <a:effectLst>
                <a:outerShdw dist="35921" dir="2700000" algn="br">
                  <a:srgbClr val="000000"/>
                </a:outerShdw>
              </a:effectLst>
            </c:spPr>
          </c:dPt>
          <c:dPt>
            <c:idx val="2"/>
            <c:invertIfNegative val="0"/>
            <c:bubble3D val="0"/>
            <c:spPr>
              <a:solidFill>
                <a:srgbClr val="9AAC82"/>
              </a:solidFill>
              <a:ln w="12700">
                <a:solidFill>
                  <a:srgbClr val="000000"/>
                </a:solidFill>
                <a:prstDash val="solid"/>
              </a:ln>
              <a:effectLst>
                <a:outerShdw dist="35921" dir="2700000" algn="br">
                  <a:srgbClr val="000000"/>
                </a:outerShdw>
              </a:effectLst>
            </c:spPr>
          </c:dPt>
          <c:dPt>
            <c:idx val="3"/>
            <c:invertIfNegative val="0"/>
            <c:bubble3D val="0"/>
            <c:spPr>
              <a:solidFill>
                <a:schemeClr val="bg1">
                  <a:lumMod val="65000"/>
                </a:schemeClr>
              </a:solidFill>
              <a:ln w="12700">
                <a:solidFill>
                  <a:srgbClr val="000000"/>
                </a:solidFill>
                <a:prstDash val="solid"/>
              </a:ln>
              <a:effectLst>
                <a:outerShdw dist="35921" dir="2700000" algn="br">
                  <a:srgbClr val="000000"/>
                </a:outerShdw>
              </a:effectLst>
            </c:spPr>
          </c:dPt>
          <c:dPt>
            <c:idx val="4"/>
            <c:invertIfNegative val="0"/>
            <c:bubble3D val="0"/>
            <c:spPr>
              <a:solidFill>
                <a:schemeClr val="tx1">
                  <a:lumMod val="75000"/>
                  <a:lumOff val="25000"/>
                </a:schemeClr>
              </a:solidFill>
              <a:ln w="12700">
                <a:solidFill>
                  <a:srgbClr val="000000"/>
                </a:solidFill>
                <a:prstDash val="solid"/>
              </a:ln>
              <a:effectLst>
                <a:outerShdw dist="35921" dir="2700000" algn="br">
                  <a:srgbClr val="000000"/>
                </a:outerShdw>
              </a:effectLst>
            </c:spPr>
          </c:dPt>
          <c:errBars>
            <c:errBarType val="both"/>
            <c:errValType val="cust"/>
            <c:noEndCap val="0"/>
            <c:plus>
              <c:numRef>
                <c:f>GRÁFICOS!$D$40:$D$44</c:f>
                <c:numCache>
                  <c:formatCode>General</c:formatCode>
                  <c:ptCount val="5"/>
                  <c:pt idx="0">
                    <c:v>0.00721687836487032</c:v>
                  </c:pt>
                  <c:pt idx="1">
                    <c:v>0.0</c:v>
                  </c:pt>
                  <c:pt idx="2">
                    <c:v>0.0</c:v>
                  </c:pt>
                  <c:pt idx="3">
                    <c:v>0.0</c:v>
                  </c:pt>
                  <c:pt idx="4">
                    <c:v>0.0562499999999999</c:v>
                  </c:pt>
                </c:numCache>
              </c:numRef>
            </c:plus>
            <c:minus>
              <c:numRef>
                <c:f>GRÁFICOS!$D$40:$D$44</c:f>
                <c:numCache>
                  <c:formatCode>General</c:formatCode>
                  <c:ptCount val="5"/>
                  <c:pt idx="0">
                    <c:v>0.00721687836487032</c:v>
                  </c:pt>
                  <c:pt idx="1">
                    <c:v>0.0</c:v>
                  </c:pt>
                  <c:pt idx="2">
                    <c:v>0.0</c:v>
                  </c:pt>
                  <c:pt idx="3">
                    <c:v>0.0</c:v>
                  </c:pt>
                  <c:pt idx="4">
                    <c:v>0.0562499999999999</c:v>
                  </c:pt>
                </c:numCache>
              </c:numRef>
            </c:minus>
            <c:spPr>
              <a:ln w="12700">
                <a:solidFill>
                  <a:srgbClr val="000000"/>
                </a:solidFill>
                <a:prstDash val="solid"/>
              </a:ln>
            </c:spPr>
          </c:errBars>
          <c:cat>
            <c:strRef>
              <c:f>GRÁFICOS!$B$40:$B$44</c:f>
              <c:strCache>
                <c:ptCount val="5"/>
                <c:pt idx="0">
                  <c:v>CRM</c:v>
                </c:pt>
                <c:pt idx="1">
                  <c:v>AR</c:v>
                </c:pt>
                <c:pt idx="2">
                  <c:v>AG</c:v>
                </c:pt>
                <c:pt idx="3">
                  <c:v>CC</c:v>
                </c:pt>
                <c:pt idx="4">
                  <c:v>RC</c:v>
                </c:pt>
              </c:strCache>
            </c:strRef>
          </c:cat>
          <c:val>
            <c:numRef>
              <c:f>GRÁFICOS!$C$40:$C$44</c:f>
              <c:numCache>
                <c:formatCode>0%</c:formatCode>
                <c:ptCount val="5"/>
                <c:pt idx="0">
                  <c:v>0.0125</c:v>
                </c:pt>
                <c:pt idx="1">
                  <c:v>0.0</c:v>
                </c:pt>
                <c:pt idx="2">
                  <c:v>0.0</c:v>
                </c:pt>
                <c:pt idx="3">
                  <c:v>0.0</c:v>
                </c:pt>
                <c:pt idx="4">
                  <c:v>0.26875</c:v>
                </c:pt>
              </c:numCache>
            </c:numRef>
          </c:val>
        </c:ser>
        <c:dLbls>
          <c:showLegendKey val="0"/>
          <c:showVal val="0"/>
          <c:showCatName val="0"/>
          <c:showSerName val="0"/>
          <c:showPercent val="0"/>
          <c:showBubbleSize val="0"/>
        </c:dLbls>
        <c:gapWidth val="150"/>
        <c:axId val="-2145861704"/>
        <c:axId val="-2145858248"/>
      </c:barChart>
      <c:catAx>
        <c:axId val="-214586170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50" b="1" i="0" u="none" strike="noStrike" baseline="0">
                <a:solidFill>
                  <a:srgbClr val="000000"/>
                </a:solidFill>
                <a:latin typeface="Arial Narrow"/>
                <a:ea typeface="Arial Narrow"/>
                <a:cs typeface="Arial Narrow"/>
              </a:defRPr>
            </a:pPr>
            <a:endParaRPr lang="en-US"/>
          </a:p>
        </c:txPr>
        <c:crossAx val="-2145858248"/>
        <c:crosses val="autoZero"/>
        <c:auto val="1"/>
        <c:lblAlgn val="ctr"/>
        <c:lblOffset val="100"/>
        <c:tickLblSkip val="1"/>
        <c:tickMarkSkip val="1"/>
        <c:noMultiLvlLbl val="0"/>
      </c:catAx>
      <c:valAx>
        <c:axId val="-2145858248"/>
        <c:scaling>
          <c:orientation val="minMax"/>
          <c:min val="0.0"/>
        </c:scaling>
        <c:delete val="0"/>
        <c:axPos val="l"/>
        <c:majorGridlines>
          <c:spPr>
            <a:ln w="3175">
              <a:solidFill>
                <a:srgbClr val="FFFFFF"/>
              </a:solidFill>
              <a:prstDash val="solid"/>
            </a:ln>
          </c:spPr>
        </c:majorGridlines>
        <c:title>
          <c:tx>
            <c:rich>
              <a:bodyPr/>
              <a:lstStyle/>
              <a:p>
                <a:pPr>
                  <a:defRPr sz="850" b="1" i="0" u="none" strike="noStrike" baseline="0">
                    <a:solidFill>
                      <a:srgbClr val="000000"/>
                    </a:solidFill>
                    <a:latin typeface="Arial Narrow"/>
                    <a:ea typeface="Arial Narrow"/>
                    <a:cs typeface="Arial Narrow"/>
                  </a:defRPr>
                </a:pPr>
                <a:r>
                  <a:rPr lang="pt-BR"/>
                  <a:t>Cobertura média  + - EP</a:t>
                </a:r>
              </a:p>
            </c:rich>
          </c:tx>
          <c:layout>
            <c:manualLayout>
              <c:xMode val="edge"/>
              <c:yMode val="edge"/>
              <c:x val="0.0503873941552359"/>
              <c:y val="0.313654259126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50" b="1" i="0" u="none" strike="noStrike" baseline="0">
                <a:solidFill>
                  <a:srgbClr val="000000"/>
                </a:solidFill>
                <a:latin typeface="Arial Narrow"/>
                <a:ea typeface="Arial Narrow"/>
                <a:cs typeface="Arial Narrow"/>
              </a:defRPr>
            </a:pPr>
            <a:endParaRPr lang="en-US"/>
          </a:p>
        </c:txPr>
        <c:crossAx val="-2145861704"/>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9525">
      <a:noFill/>
    </a:ln>
  </c:spPr>
  <c:txPr>
    <a:bodyPr/>
    <a:lstStyle/>
    <a:p>
      <a:pPr>
        <a:defRPr sz="850" b="1" i="0" u="none" strike="noStrike" baseline="0">
          <a:solidFill>
            <a:srgbClr val="000000"/>
          </a:solidFill>
          <a:latin typeface="Arial Narrow"/>
          <a:ea typeface="Arial Narrow"/>
          <a:cs typeface="Arial Narrow"/>
        </a:defRPr>
      </a:pPr>
      <a:endParaRPr lang="en-US"/>
    </a:p>
  </c:txPr>
  <c:printSettings>
    <c:headerFooter alignWithMargins="0"/>
    <c:pageMargins b="1.0" l="0.75" r="0.75" t="1.0"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000000"/>
                </a:solidFill>
                <a:latin typeface="Arial Narrow"/>
                <a:ea typeface="Arial Narrow"/>
                <a:cs typeface="Arial Narrow"/>
              </a:defRPr>
            </a:pPr>
            <a:r>
              <a:rPr lang="pt-BR" sz="1050" b="1" i="0" u="none" strike="noStrike" baseline="0">
                <a:solidFill>
                  <a:srgbClr val="000000"/>
                </a:solidFill>
                <a:latin typeface="Arial Narrow"/>
              </a:rPr>
              <a:t>Percentagem média de cobertura não viva para RCB Taquaruçu, 2 m 20/02/2019</a:t>
            </a:r>
            <a:endParaRPr lang="pt-BR" sz="1050" b="1" i="0" u="none" strike="noStrike" baseline="0">
              <a:solidFill>
                <a:srgbClr val="3366FF"/>
              </a:solidFill>
              <a:latin typeface="Arial Narrow"/>
            </a:endParaRPr>
          </a:p>
        </c:rich>
      </c:tx>
      <c:layout>
        <c:manualLayout>
          <c:xMode val="edge"/>
          <c:yMode val="edge"/>
          <c:x val="0.118774385176775"/>
          <c:y val="0.040650715761979"/>
        </c:manualLayout>
      </c:layout>
      <c:overlay val="0"/>
      <c:spPr>
        <a:noFill/>
        <a:ln w="25400">
          <a:noFill/>
        </a:ln>
      </c:spPr>
    </c:title>
    <c:autoTitleDeleted val="0"/>
    <c:view3D>
      <c:rotX val="15"/>
      <c:rotY val="0"/>
      <c:rAngAx val="0"/>
      <c:perspective val="0"/>
    </c:view3D>
    <c:floor>
      <c:thickness val="0"/>
    </c:floor>
    <c:sideWall>
      <c:thickness val="0"/>
    </c:sideWall>
    <c:backWall>
      <c:thickness val="0"/>
    </c:backWall>
    <c:plotArea>
      <c:layout>
        <c:manualLayout>
          <c:layoutTarget val="inner"/>
          <c:xMode val="edge"/>
          <c:yMode val="edge"/>
          <c:x val="0.125064660714516"/>
          <c:y val="0.36585537104841"/>
          <c:w val="0.764828608978002"/>
          <c:h val="0.320745977585185"/>
        </c:manualLayout>
      </c:layout>
      <c:pie3DChart>
        <c:varyColors val="1"/>
        <c:ser>
          <c:idx val="0"/>
          <c:order val="0"/>
          <c:spPr>
            <a:solidFill>
              <a:srgbClr val="8080FF"/>
            </a:solidFill>
            <a:ln w="12700">
              <a:solidFill>
                <a:srgbClr val="000000"/>
              </a:solidFill>
              <a:prstDash val="solid"/>
            </a:ln>
          </c:spPr>
          <c:explosion val="25"/>
          <c:dPt>
            <c:idx val="0"/>
            <c:bubble3D val="0"/>
            <c:spPr>
              <a:solidFill>
                <a:srgbClr val="9A7A85"/>
              </a:solidFill>
              <a:ln w="12700">
                <a:solidFill>
                  <a:srgbClr val="000000"/>
                </a:solidFill>
                <a:prstDash val="solid"/>
              </a:ln>
            </c:spPr>
          </c:dPt>
          <c:dPt>
            <c:idx val="1"/>
            <c:bubble3D val="0"/>
            <c:spPr>
              <a:solidFill>
                <a:srgbClr val="FFFF00"/>
              </a:solidFill>
              <a:ln w="12700">
                <a:solidFill>
                  <a:srgbClr val="000000"/>
                </a:solidFill>
                <a:prstDash val="solid"/>
              </a:ln>
            </c:spPr>
          </c:dPt>
          <c:dPt>
            <c:idx val="2"/>
            <c:bubble3D val="0"/>
            <c:spPr>
              <a:solidFill>
                <a:srgbClr val="9AAC82"/>
              </a:solidFill>
              <a:ln w="12700">
                <a:solidFill>
                  <a:srgbClr val="000000"/>
                </a:solidFill>
                <a:prstDash val="solid"/>
              </a:ln>
            </c:spPr>
          </c:dPt>
          <c:dPt>
            <c:idx val="3"/>
            <c:bubble3D val="0"/>
            <c:spPr>
              <a:solidFill>
                <a:schemeClr val="bg1">
                  <a:lumMod val="65000"/>
                </a:schemeClr>
              </a:solidFill>
              <a:ln w="12700">
                <a:solidFill>
                  <a:srgbClr val="000000"/>
                </a:solidFill>
                <a:prstDash val="solid"/>
              </a:ln>
            </c:spPr>
          </c:dPt>
          <c:dPt>
            <c:idx val="4"/>
            <c:bubble3D val="0"/>
            <c:spPr>
              <a:solidFill>
                <a:schemeClr val="tx1">
                  <a:lumMod val="75000"/>
                  <a:lumOff val="25000"/>
                </a:schemeClr>
              </a:solidFill>
              <a:ln w="12700">
                <a:solidFill>
                  <a:srgbClr val="000000"/>
                </a:solidFill>
                <a:prstDash val="solid"/>
              </a:ln>
            </c:spPr>
          </c:dPt>
          <c:dLbls>
            <c:spPr>
              <a:noFill/>
              <a:ln w="25400">
                <a:noFill/>
              </a:ln>
            </c:spPr>
            <c:txPr>
              <a:bodyPr/>
              <a:lstStyle/>
              <a:p>
                <a:pPr>
                  <a:defRPr sz="900" b="1" i="0" u="none" strike="noStrike" baseline="0">
                    <a:solidFill>
                      <a:srgbClr val="000000"/>
                    </a:solidFill>
                    <a:latin typeface="Arial Narrow"/>
                    <a:ea typeface="Arial Narrow"/>
                    <a:cs typeface="Arial Narrow"/>
                  </a:defRPr>
                </a:pPr>
                <a:endParaRPr lang="en-US"/>
              </a:p>
            </c:txPr>
            <c:dLblPos val="outEnd"/>
            <c:showLegendKey val="0"/>
            <c:showVal val="1"/>
            <c:showCatName val="0"/>
            <c:showSerName val="0"/>
            <c:showPercent val="0"/>
            <c:showBubbleSize val="0"/>
            <c:showLeaderLines val="1"/>
          </c:dLbls>
          <c:cat>
            <c:strRef>
              <c:f>GRÁFICOS!$B$40:$B$44</c:f>
              <c:strCache>
                <c:ptCount val="5"/>
                <c:pt idx="0">
                  <c:v>CRM</c:v>
                </c:pt>
                <c:pt idx="1">
                  <c:v>AR</c:v>
                </c:pt>
                <c:pt idx="2">
                  <c:v>AG</c:v>
                </c:pt>
                <c:pt idx="3">
                  <c:v>CC</c:v>
                </c:pt>
                <c:pt idx="4">
                  <c:v>RC</c:v>
                </c:pt>
              </c:strCache>
            </c:strRef>
          </c:cat>
          <c:val>
            <c:numRef>
              <c:f>GRÁFICOS!$C$40:$C$44</c:f>
              <c:numCache>
                <c:formatCode>0%</c:formatCode>
                <c:ptCount val="5"/>
                <c:pt idx="0">
                  <c:v>0.0125</c:v>
                </c:pt>
                <c:pt idx="1">
                  <c:v>0.0</c:v>
                </c:pt>
                <c:pt idx="2">
                  <c:v>0.0</c:v>
                </c:pt>
                <c:pt idx="3">
                  <c:v>0.0</c:v>
                </c:pt>
                <c:pt idx="4">
                  <c:v>0.26875</c:v>
                </c:pt>
              </c:numCache>
            </c:numRef>
          </c:val>
        </c:ser>
        <c:dLbls>
          <c:showLegendKey val="0"/>
          <c:showVal val="0"/>
          <c:showCatName val="0"/>
          <c:showSerName val="0"/>
          <c:showPercent val="0"/>
          <c:showBubbleSize val="0"/>
          <c:showLeaderLines val="1"/>
        </c:dLbls>
      </c:pie3DChart>
      <c:spPr>
        <a:noFill/>
        <a:ln w="25400">
          <a:noFill/>
        </a:ln>
      </c:spPr>
    </c:plotArea>
    <c:legend>
      <c:legendPos val="b"/>
      <c:layout>
        <c:manualLayout>
          <c:xMode val="edge"/>
          <c:yMode val="edge"/>
          <c:x val="0.0"/>
          <c:y val="0.827435777542194"/>
          <c:w val="0.988741384038221"/>
          <c:h val="0.160372738156182"/>
        </c:manualLayout>
      </c:layout>
      <c:overlay val="0"/>
      <c:spPr>
        <a:solidFill>
          <a:srgbClr val="FFFFFF"/>
        </a:solidFill>
        <a:ln w="3175">
          <a:solidFill>
            <a:srgbClr val="FFFFFF"/>
          </a:solidFill>
          <a:prstDash val="solid"/>
        </a:ln>
      </c:spPr>
      <c:txPr>
        <a:bodyPr/>
        <a:lstStyle/>
        <a:p>
          <a:pPr>
            <a:defRPr sz="800" b="1" i="0" u="none" strike="noStrike" baseline="0">
              <a:solidFill>
                <a:srgbClr val="000000"/>
              </a:solidFill>
              <a:latin typeface="Arial Narrow"/>
              <a:ea typeface="Arial Narrow"/>
              <a:cs typeface="Arial Narrow"/>
            </a:defRPr>
          </a:pPr>
          <a:endParaRPr lang="en-US"/>
        </a:p>
      </c:txPr>
    </c:legend>
    <c:plotVisOnly val="1"/>
    <c:dispBlanksAs val="zero"/>
    <c:showDLblsOverMax val="0"/>
  </c:chart>
  <c:spPr>
    <a:solidFill>
      <a:srgbClr val="FFFFFF"/>
    </a:solidFill>
    <a:ln w="12700">
      <a:solidFill>
        <a:srgbClr val="FFFFFF"/>
      </a:solidFill>
      <a:prstDash val="solid"/>
    </a:ln>
  </c:spPr>
  <c:txPr>
    <a:bodyPr/>
    <a:lstStyle/>
    <a:p>
      <a:pPr>
        <a:defRPr sz="1050" b="1" i="0" u="none" strike="noStrike" baseline="0">
          <a:solidFill>
            <a:srgbClr val="000000"/>
          </a:solidFill>
          <a:latin typeface="Arial Narrow"/>
          <a:ea typeface="Arial Narrow"/>
          <a:cs typeface="Arial Narrow"/>
        </a:defRPr>
      </a:pPr>
      <a:endParaRPr lang="en-US"/>
    </a:p>
  </c:txPr>
  <c:printSettings>
    <c:headerFooter alignWithMargins="0"/>
    <c:pageMargins b="1.0" l="0.75" r="0.75" t="1.0"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000000"/>
                </a:solidFill>
                <a:latin typeface="Arial Narrow"/>
                <a:ea typeface="Arial Narrow"/>
                <a:cs typeface="Arial Narrow"/>
              </a:defRPr>
            </a:pPr>
            <a:r>
              <a:rPr lang="pt-BR" sz="1050" b="1" i="0" u="none" strike="noStrike" baseline="0">
                <a:solidFill>
                  <a:srgbClr val="000000"/>
                </a:solidFill>
                <a:latin typeface="Arial Narrow"/>
              </a:rPr>
              <a:t>Percentagem média de cobertura viva para RCB Taquaruçu, 2 m 20/02/2019</a:t>
            </a:r>
            <a:endParaRPr lang="pt-BR" sz="1050" b="1" i="0" u="none" strike="noStrike" baseline="0">
              <a:solidFill>
                <a:srgbClr val="3366FF"/>
              </a:solidFill>
              <a:latin typeface="Arial Narrow"/>
            </a:endParaRPr>
          </a:p>
        </c:rich>
      </c:tx>
      <c:layout>
        <c:manualLayout>
          <c:xMode val="edge"/>
          <c:yMode val="edge"/>
          <c:x val="0.133829104695246"/>
          <c:y val="0.0203817937391972"/>
        </c:manualLayout>
      </c:layout>
      <c:overlay val="0"/>
      <c:spPr>
        <a:noFill/>
        <a:ln w="25400">
          <a:noFill/>
        </a:ln>
      </c:spPr>
    </c:title>
    <c:autoTitleDeleted val="0"/>
    <c:view3D>
      <c:rotX val="15"/>
      <c:rotY val="0"/>
      <c:rAngAx val="0"/>
      <c:perspective val="0"/>
    </c:view3D>
    <c:floor>
      <c:thickness val="0"/>
    </c:floor>
    <c:sideWall>
      <c:thickness val="0"/>
    </c:sideWall>
    <c:backWall>
      <c:thickness val="0"/>
    </c:backWall>
    <c:plotArea>
      <c:layout>
        <c:manualLayout>
          <c:layoutTarget val="inner"/>
          <c:xMode val="edge"/>
          <c:yMode val="edge"/>
          <c:x val="0.0623322302120716"/>
          <c:y val="0.349057738466898"/>
          <c:w val="0.881896771271534"/>
          <c:h val="0.3752427712509"/>
        </c:manualLayout>
      </c:layout>
      <c:pie3DChart>
        <c:varyColors val="1"/>
        <c:ser>
          <c:idx val="0"/>
          <c:order val="0"/>
          <c:spPr>
            <a:solidFill>
              <a:srgbClr val="8080FF"/>
            </a:solidFill>
            <a:ln w="12700">
              <a:solidFill>
                <a:srgbClr val="000000"/>
              </a:solidFill>
              <a:prstDash val="solid"/>
            </a:ln>
          </c:spPr>
          <c:explosion val="25"/>
          <c:dPt>
            <c:idx val="0"/>
            <c:bubble3D val="0"/>
            <c:spPr>
              <a:solidFill>
                <a:schemeClr val="accent2">
                  <a:lumMod val="60000"/>
                  <a:lumOff val="40000"/>
                </a:schemeClr>
              </a:solidFill>
              <a:ln w="12700">
                <a:solidFill>
                  <a:srgbClr val="000000"/>
                </a:solidFill>
                <a:prstDash val="solid"/>
              </a:ln>
            </c:spPr>
          </c:dPt>
          <c:dPt>
            <c:idx val="1"/>
            <c:bubble3D val="0"/>
            <c:spPr>
              <a:solidFill>
                <a:srgbClr val="823677"/>
              </a:solidFill>
              <a:ln w="12700">
                <a:solidFill>
                  <a:srgbClr val="000000"/>
                </a:solidFill>
                <a:prstDash val="solid"/>
              </a:ln>
            </c:spPr>
          </c:dPt>
          <c:dPt>
            <c:idx val="2"/>
            <c:bubble3D val="0"/>
            <c:spPr>
              <a:solidFill>
                <a:schemeClr val="accent6"/>
              </a:solidFill>
              <a:ln w="12700">
                <a:solidFill>
                  <a:srgbClr val="000000"/>
                </a:solidFill>
                <a:prstDash val="solid"/>
              </a:ln>
            </c:spPr>
          </c:dPt>
          <c:dPt>
            <c:idx val="3"/>
            <c:bubble3D val="0"/>
            <c:spPr>
              <a:solidFill>
                <a:schemeClr val="accent2">
                  <a:lumMod val="75000"/>
                </a:schemeClr>
              </a:solidFill>
              <a:ln w="12700">
                <a:solidFill>
                  <a:srgbClr val="000000"/>
                </a:solidFill>
                <a:prstDash val="solid"/>
              </a:ln>
            </c:spPr>
          </c:dPt>
          <c:dPt>
            <c:idx val="4"/>
            <c:bubble3D val="0"/>
            <c:spPr>
              <a:solidFill>
                <a:schemeClr val="accent3">
                  <a:lumMod val="50000"/>
                </a:schemeClr>
              </a:solidFill>
              <a:ln w="12700">
                <a:solidFill>
                  <a:srgbClr val="000000"/>
                </a:solidFill>
                <a:prstDash val="solid"/>
              </a:ln>
            </c:spPr>
          </c:dPt>
          <c:dPt>
            <c:idx val="5"/>
            <c:bubble3D val="0"/>
            <c:spPr>
              <a:solidFill>
                <a:schemeClr val="bg2">
                  <a:lumMod val="50000"/>
                </a:schemeClr>
              </a:solidFill>
              <a:ln w="12700">
                <a:solidFill>
                  <a:srgbClr val="000000"/>
                </a:solidFill>
                <a:prstDash val="solid"/>
              </a:ln>
            </c:spPr>
          </c:dPt>
          <c:dPt>
            <c:idx val="6"/>
            <c:bubble3D val="0"/>
            <c:spPr>
              <a:solidFill>
                <a:srgbClr val="00B050"/>
              </a:solidFill>
              <a:ln w="12700">
                <a:solidFill>
                  <a:srgbClr val="000000"/>
                </a:solidFill>
                <a:prstDash val="solid"/>
              </a:ln>
            </c:spPr>
          </c:dPt>
          <c:dPt>
            <c:idx val="7"/>
            <c:bubble3D val="0"/>
            <c:spPr>
              <a:solidFill>
                <a:schemeClr val="accent4"/>
              </a:solidFill>
              <a:ln w="12700">
                <a:solidFill>
                  <a:srgbClr val="000000"/>
                </a:solidFill>
                <a:prstDash val="solid"/>
              </a:ln>
            </c:spPr>
          </c:dPt>
          <c:dPt>
            <c:idx val="8"/>
            <c:bubble3D val="0"/>
            <c:spPr>
              <a:solidFill>
                <a:schemeClr val="accent6">
                  <a:lumMod val="20000"/>
                  <a:lumOff val="80000"/>
                </a:schemeClr>
              </a:solidFill>
              <a:ln w="12700">
                <a:solidFill>
                  <a:srgbClr val="000000"/>
                </a:solidFill>
                <a:prstDash val="solid"/>
              </a:ln>
            </c:spPr>
          </c:dPt>
          <c:dLbls>
            <c:spPr>
              <a:noFill/>
              <a:ln w="25400">
                <a:noFill/>
              </a:ln>
            </c:spPr>
            <c:txPr>
              <a:bodyPr/>
              <a:lstStyle/>
              <a:p>
                <a:pPr>
                  <a:defRPr sz="875" b="1" i="0" u="none" strike="noStrike" baseline="0">
                    <a:solidFill>
                      <a:srgbClr val="000000"/>
                    </a:solidFill>
                    <a:latin typeface="Arial Narrow"/>
                    <a:ea typeface="Arial Narrow"/>
                    <a:cs typeface="Arial Narrow"/>
                  </a:defRPr>
                </a:pPr>
                <a:endParaRPr lang="en-US"/>
              </a:p>
            </c:txPr>
            <c:showLegendKey val="0"/>
            <c:showVal val="1"/>
            <c:showCatName val="0"/>
            <c:showSerName val="0"/>
            <c:showPercent val="0"/>
            <c:showBubbleSize val="0"/>
            <c:showLeaderLines val="1"/>
          </c:dLbls>
          <c:cat>
            <c:strRef>
              <c:f>GRÁFICOS!$B$28:$B$36</c:f>
              <c:strCache>
                <c:ptCount val="9"/>
                <c:pt idx="0">
                  <c:v>CD</c:v>
                </c:pt>
                <c:pt idx="1">
                  <c:v>CM</c:v>
                </c:pt>
                <c:pt idx="2">
                  <c:v>ACA</c:v>
                </c:pt>
                <c:pt idx="3">
                  <c:v>ACI</c:v>
                </c:pt>
                <c:pt idx="4">
                  <c:v>AF</c:v>
                </c:pt>
                <c:pt idx="5">
                  <c:v>TURF</c:v>
                </c:pt>
                <c:pt idx="6">
                  <c:v>NIA</c:v>
                </c:pt>
                <c:pt idx="7">
                  <c:v>SP</c:v>
                </c:pt>
                <c:pt idx="8">
                  <c:v>OT</c:v>
                </c:pt>
              </c:strCache>
            </c:strRef>
          </c:cat>
          <c:val>
            <c:numRef>
              <c:f>GRÁFICOS!$C$28:$C$36</c:f>
              <c:numCache>
                <c:formatCode>0%</c:formatCode>
                <c:ptCount val="9"/>
                <c:pt idx="0">
                  <c:v>0.375</c:v>
                </c:pt>
                <c:pt idx="1">
                  <c:v>0.25625</c:v>
                </c:pt>
                <c:pt idx="2">
                  <c:v>0.0</c:v>
                </c:pt>
                <c:pt idx="3">
                  <c:v>0.0375</c:v>
                </c:pt>
                <c:pt idx="4">
                  <c:v>0.05</c:v>
                </c:pt>
                <c:pt idx="5">
                  <c:v>0.0</c:v>
                </c:pt>
                <c:pt idx="6">
                  <c:v>0.0</c:v>
                </c:pt>
                <c:pt idx="7">
                  <c:v>0.0</c:v>
                </c:pt>
                <c:pt idx="8">
                  <c:v>0.0</c:v>
                </c:pt>
              </c:numCache>
            </c:numRef>
          </c:val>
        </c:ser>
        <c:dLbls>
          <c:showLegendKey val="0"/>
          <c:showVal val="0"/>
          <c:showCatName val="0"/>
          <c:showSerName val="0"/>
          <c:showPercent val="0"/>
          <c:showBubbleSize val="0"/>
          <c:showLeaderLines val="1"/>
        </c:dLbls>
      </c:pie3DChart>
      <c:spPr>
        <a:noFill/>
        <a:ln w="25400">
          <a:noFill/>
        </a:ln>
      </c:spPr>
    </c:plotArea>
    <c:legend>
      <c:legendPos val="b"/>
      <c:layout>
        <c:manualLayout>
          <c:xMode val="edge"/>
          <c:yMode val="edge"/>
          <c:x val="0.000138625023192354"/>
          <c:y val="0.811727390826613"/>
          <c:w val="0.976395297895651"/>
          <c:h val="0.176274182011321"/>
        </c:manualLayout>
      </c:layout>
      <c:overlay val="0"/>
      <c:spPr>
        <a:solidFill>
          <a:srgbClr val="FFFFFF"/>
        </a:solidFill>
        <a:ln w="25400">
          <a:noFill/>
        </a:ln>
      </c:spPr>
      <c:txPr>
        <a:bodyPr/>
        <a:lstStyle/>
        <a:p>
          <a:pPr>
            <a:defRPr sz="800" b="1" i="0" u="none" strike="noStrike" baseline="0">
              <a:solidFill>
                <a:srgbClr val="000000"/>
              </a:solidFill>
              <a:latin typeface="Arial Narrow"/>
              <a:ea typeface="Arial Narrow"/>
              <a:cs typeface="Arial Narrow"/>
            </a:defRPr>
          </a:pPr>
          <a:endParaRPr lang="en-US"/>
        </a:p>
      </c:txPr>
    </c:legend>
    <c:plotVisOnly val="1"/>
    <c:dispBlanksAs val="zero"/>
    <c:showDLblsOverMax val="0"/>
  </c:chart>
  <c:spPr>
    <a:solidFill>
      <a:srgbClr val="FFFFFF"/>
    </a:solidFill>
    <a:ln w="12700">
      <a:solidFill>
        <a:srgbClr val="FFFFFF"/>
      </a:solidFill>
      <a:prstDash val="solid"/>
    </a:ln>
  </c:spPr>
  <c:txPr>
    <a:bodyPr/>
    <a:lstStyle/>
    <a:p>
      <a:pPr>
        <a:defRPr sz="1050" b="1" i="0" u="none" strike="noStrike" baseline="0">
          <a:solidFill>
            <a:srgbClr val="000000"/>
          </a:solidFill>
          <a:latin typeface="Arial Narrow"/>
          <a:ea typeface="Arial Narrow"/>
          <a:cs typeface="Arial Narrow"/>
        </a:defRPr>
      </a:pPr>
      <a:endParaRPr lang="en-US"/>
    </a:p>
  </c:txPr>
  <c:printSettings>
    <c:headerFooter alignWithMargins="0"/>
    <c:pageMargins b="1.0" l="0.75" r="0.75" t="1.0" header="0.5" footer="0.5"/>
    <c:pageSetup/>
  </c:printSettings>
</c:chartSpace>
</file>

<file path=xl/ctrlProps/ctrlProp1.xml><?xml version="1.0" encoding="utf-8"?>
<formControlPr xmlns="http://schemas.microsoft.com/office/spreadsheetml/2009/9/main" objectType="Radio" firstButton="1" lockText="1"/>
</file>

<file path=xl/ctrlProps/ctrlProp2.xml><?xml version="1.0" encoding="utf-8"?>
<formControlPr xmlns="http://schemas.microsoft.com/office/spreadsheetml/2009/9/main" objectType="Radio" lockText="1"/>
</file>

<file path=xl/ctrlProps/ctrlProp3.xml><?xml version="1.0" encoding="utf-8"?>
<formControlPr xmlns="http://schemas.microsoft.com/office/spreadsheetml/2009/9/main" objectType="Radio" lockText="1"/>
</file>

<file path=xl/ctrlProps/ctrlProp4.xml><?xml version="1.0" encoding="utf-8"?>
<formControlPr xmlns="http://schemas.microsoft.com/office/spreadsheetml/2009/9/main" objectType="Radio" lockText="1"/>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152400</xdr:colOff>
          <xdr:row>41</xdr:row>
          <xdr:rowOff>0</xdr:rowOff>
        </xdr:from>
        <xdr:to>
          <xdr:col>10</xdr:col>
          <xdr:colOff>203200</xdr:colOff>
          <xdr:row>42</xdr:row>
          <xdr:rowOff>12700</xdr:rowOff>
        </xdr:to>
        <xdr:sp macro="" textlink="">
          <xdr:nvSpPr>
            <xdr:cNvPr id="3073" name="Option Button 1" hidden="1">
              <a:extLst>
                <a:ext uri="{63B3BB69-23CF-44E3-9099-C40C66FF867C}">
                  <a14:compatExt spid="_x0000_s3073"/>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Branqueamento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88900</xdr:colOff>
          <xdr:row>41</xdr:row>
          <xdr:rowOff>0</xdr:rowOff>
        </xdr:from>
        <xdr:to>
          <xdr:col>13</xdr:col>
          <xdr:colOff>203200</xdr:colOff>
          <xdr:row>42</xdr:row>
          <xdr:rowOff>12700</xdr:rowOff>
        </xdr:to>
        <xdr:sp macro="" textlink="">
          <xdr:nvSpPr>
            <xdr:cNvPr id="3074" name="Option Button 2" hidden="1">
              <a:extLst>
                <a:ext uri="{63B3BB69-23CF-44E3-9099-C40C66FF867C}">
                  <a14:compatExt spid="_x0000_s3074"/>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Predação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254000</xdr:colOff>
          <xdr:row>41</xdr:row>
          <xdr:rowOff>0</xdr:rowOff>
        </xdr:from>
        <xdr:to>
          <xdr:col>15</xdr:col>
          <xdr:colOff>63500</xdr:colOff>
          <xdr:row>42</xdr:row>
          <xdr:rowOff>12700</xdr:rowOff>
        </xdr:to>
        <xdr:sp macro="" textlink="">
          <xdr:nvSpPr>
            <xdr:cNvPr id="3075" name="Option Button 3" hidden="1">
              <a:extLst>
                <a:ext uri="{63B3BB69-23CF-44E3-9099-C40C66FF867C}">
                  <a14:compatExt spid="_x0000_s3075"/>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Tempestade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342900</xdr:colOff>
          <xdr:row>41</xdr:row>
          <xdr:rowOff>0</xdr:rowOff>
        </xdr:from>
        <xdr:to>
          <xdr:col>16</xdr:col>
          <xdr:colOff>25400</xdr:colOff>
          <xdr:row>42</xdr:row>
          <xdr:rowOff>12700</xdr:rowOff>
        </xdr:to>
        <xdr:sp macro="" textlink="">
          <xdr:nvSpPr>
            <xdr:cNvPr id="3076" name="Option Button 4" hidden="1">
              <a:extLst>
                <a:ext uri="{63B3BB69-23CF-44E3-9099-C40C66FF867C}">
                  <a14:compatExt spid="_x0000_s3076"/>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Outro</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5</xdr:col>
      <xdr:colOff>64076</xdr:colOff>
      <xdr:row>7</xdr:row>
      <xdr:rowOff>320386</xdr:rowOff>
    </xdr:from>
    <xdr:to>
      <xdr:col>12</xdr:col>
      <xdr:colOff>711776</xdr:colOff>
      <xdr:row>22</xdr:row>
      <xdr:rowOff>71003</xdr:rowOff>
    </xdr:to>
    <xdr:graphicFrame macro="">
      <xdr:nvGraphicFramePr>
        <xdr:cNvPr id="2"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5</xdr:col>
      <xdr:colOff>38100</xdr:colOff>
      <xdr:row>22</xdr:row>
      <xdr:rowOff>123825</xdr:rowOff>
    </xdr:from>
    <xdr:to>
      <xdr:col>9</xdr:col>
      <xdr:colOff>152400</xdr:colOff>
      <xdr:row>34</xdr:row>
      <xdr:rowOff>28575</xdr:rowOff>
    </xdr:to>
    <xdr:graphicFrame macro="">
      <xdr:nvGraphicFramePr>
        <xdr:cNvPr id="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xdr:from>
      <xdr:col>9</xdr:col>
      <xdr:colOff>152400</xdr:colOff>
      <xdr:row>22</xdr:row>
      <xdr:rowOff>85725</xdr:rowOff>
    </xdr:from>
    <xdr:to>
      <xdr:col>12</xdr:col>
      <xdr:colOff>676275</xdr:colOff>
      <xdr:row>35</xdr:row>
      <xdr:rowOff>47625</xdr:rowOff>
    </xdr:to>
    <xdr:graphicFrame macro="">
      <xdr:nvGraphicFramePr>
        <xdr:cNvPr id="4"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xdr:from>
      <xdr:col>8</xdr:col>
      <xdr:colOff>675409</xdr:colOff>
      <xdr:row>34</xdr:row>
      <xdr:rowOff>161925</xdr:rowOff>
    </xdr:from>
    <xdr:to>
      <xdr:col>12</xdr:col>
      <xdr:colOff>657225</xdr:colOff>
      <xdr:row>44</xdr:row>
      <xdr:rowOff>85725</xdr:rowOff>
    </xdr:to>
    <xdr:graphicFrame macro="">
      <xdr:nvGraphicFramePr>
        <xdr:cNvPr id="6"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twoCellAnchor>
  <xdr:twoCellAnchor>
    <xdr:from>
      <xdr:col>5</xdr:col>
      <xdr:colOff>57150</xdr:colOff>
      <xdr:row>35</xdr:row>
      <xdr:rowOff>19050</xdr:rowOff>
    </xdr:from>
    <xdr:to>
      <xdr:col>8</xdr:col>
      <xdr:colOff>710045</xdr:colOff>
      <xdr:row>44</xdr:row>
      <xdr:rowOff>114300</xdr:rowOff>
    </xdr:to>
    <xdr:graphicFrame macro="">
      <xdr:nvGraphicFramePr>
        <xdr:cNvPr id="5"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twoCellAnchor>
  <xdr:twoCellAnchor>
    <xdr:from>
      <xdr:col>5</xdr:col>
      <xdr:colOff>329045</xdr:colOff>
      <xdr:row>5</xdr:row>
      <xdr:rowOff>129887</xdr:rowOff>
    </xdr:from>
    <xdr:to>
      <xdr:col>12</xdr:col>
      <xdr:colOff>214315</xdr:colOff>
      <xdr:row>7</xdr:row>
      <xdr:rowOff>216045</xdr:rowOff>
    </xdr:to>
    <xdr:sp macro="" textlink="" fLocksText="0">
      <xdr:nvSpPr>
        <xdr:cNvPr id="8" name="CaixaDeTexto 7"/>
        <xdr:cNvSpPr txBox="1"/>
      </xdr:nvSpPr>
      <xdr:spPr>
        <a:xfrm>
          <a:off x="4511386" y="1506682"/>
          <a:ext cx="4976815" cy="5191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pt-BR" sz="1400" b="1">
              <a:latin typeface="Arial Narrow" pitchFamily="34" charset="0"/>
            </a:rPr>
            <a:t>Percentagem média da cobertura de</a:t>
          </a:r>
          <a:r>
            <a:rPr lang="pt-BR" sz="1400" b="1" baseline="0">
              <a:latin typeface="Arial Narrow" pitchFamily="34" charset="0"/>
            </a:rPr>
            <a:t> substrato para RCB Taquaruçu, 2 m 20/02/2019</a:t>
          </a:r>
          <a:endParaRPr lang="pt-BR" sz="1400" b="1">
            <a:solidFill>
              <a:srgbClr val="0000FF"/>
            </a:solidFill>
            <a:latin typeface="Arial Narrow" pitchFamily="34" charset="0"/>
          </a:endParaRPr>
        </a:p>
      </xdr:txBody>
    </xdr:sp>
    <xdr:clientData fLocksWithSheet="0"/>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ariana/Dropbox/INCT%20MC/Recifal/Dados%202015-2017/Tamandar&#233;/3.%20Planilha%20RCB%20substrato(PIT)%20cord&#227;o%20do%20mero%20maio%202016.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STRUÇÕES"/>
      <sheetName val="DADOS"/>
      <sheetName val="GRÁFICOS"/>
      <sheetName val="DADOS ESPÉCIES"/>
    </sheetNames>
    <sheetDataSet>
      <sheetData sheetId="0"/>
      <sheetData sheetId="1">
        <row r="51">
          <cell r="N51">
            <v>0.21875</v>
          </cell>
        </row>
      </sheetData>
      <sheetData sheetId="2">
        <row r="9">
          <cell r="B9" t="str">
            <v>ACA</v>
          </cell>
        </row>
      </sheetData>
      <sheetData sheetId="3">
        <row r="3">
          <cell r="AF3" t="str">
            <v>alga calcária articulada</v>
          </cell>
        </row>
        <row r="4">
          <cell r="AF4" t="str">
            <v>alga calcária incrustante</v>
          </cell>
        </row>
        <row r="5">
          <cell r="AF5" t="str">
            <v>alga folhosa</v>
          </cell>
        </row>
        <row r="6">
          <cell r="AF6" t="str">
            <v>alga indicadora de nutriente</v>
          </cell>
        </row>
        <row r="7">
          <cell r="AF7" t="str">
            <v>areia</v>
          </cell>
        </row>
        <row r="8">
          <cell r="AF8" t="str">
            <v>argila</v>
          </cell>
        </row>
        <row r="9">
          <cell r="AF9" t="str">
            <v>cascalho</v>
          </cell>
        </row>
        <row r="10">
          <cell r="AF10" t="str">
            <v>coral duro</v>
          </cell>
        </row>
        <row r="11">
          <cell r="AF11" t="str">
            <v>coral mole</v>
          </cell>
        </row>
        <row r="12">
          <cell r="AF12" t="str">
            <v>Coral morto recentemente</v>
          </cell>
        </row>
        <row r="13">
          <cell r="AF13" t="str">
            <v>esponja</v>
          </cell>
        </row>
        <row r="14">
          <cell r="AF14" t="str">
            <v>outros</v>
          </cell>
        </row>
        <row r="15">
          <cell r="AF15" t="str">
            <v>rocha</v>
          </cell>
        </row>
      </sheetData>
    </sheetDataSet>
  </externalBook>
</externalLink>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trlProp" Target="../ctrlProps/ctrlProp1.xml"/><Relationship Id="rId4" Type="http://schemas.openxmlformats.org/officeDocument/2006/relationships/ctrlProp" Target="../ctrlProps/ctrlProp2.xml"/><Relationship Id="rId5" Type="http://schemas.openxmlformats.org/officeDocument/2006/relationships/ctrlProp" Target="../ctrlProps/ctrlProp3.xml"/><Relationship Id="rId6" Type="http://schemas.openxmlformats.org/officeDocument/2006/relationships/ctrlProp" Target="../ctrlProps/ctrlProp4.xml"/><Relationship Id="rId1" Type="http://schemas.openxmlformats.org/officeDocument/2006/relationships/drawing" Target="../drawings/drawing1.xml"/><Relationship Id="rId2"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7"/>
  <sheetViews>
    <sheetView zoomScale="90" zoomScaleNormal="90" zoomScalePageLayoutView="90" workbookViewId="0"/>
  </sheetViews>
  <sheetFormatPr baseColWidth="10" defaultColWidth="10.83203125" defaultRowHeight="15" x14ac:dyDescent="0"/>
  <cols>
    <col min="1" max="1" width="120.5" style="1" customWidth="1"/>
    <col min="2" max="2" width="10.83203125" style="2"/>
    <col min="3" max="256" width="10.83203125" style="6"/>
    <col min="257" max="257" width="120.5" style="6" customWidth="1"/>
    <col min="258" max="512" width="10.83203125" style="6"/>
    <col min="513" max="513" width="120.5" style="6" customWidth="1"/>
    <col min="514" max="768" width="10.83203125" style="6"/>
    <col min="769" max="769" width="120.5" style="6" customWidth="1"/>
    <col min="770" max="1024" width="10.83203125" style="6"/>
    <col min="1025" max="1025" width="120.5" style="6" customWidth="1"/>
    <col min="1026" max="1280" width="10.83203125" style="6"/>
    <col min="1281" max="1281" width="120.5" style="6" customWidth="1"/>
    <col min="1282" max="1536" width="10.83203125" style="6"/>
    <col min="1537" max="1537" width="120.5" style="6" customWidth="1"/>
    <col min="1538" max="1792" width="10.83203125" style="6"/>
    <col min="1793" max="1793" width="120.5" style="6" customWidth="1"/>
    <col min="1794" max="2048" width="10.83203125" style="6"/>
    <col min="2049" max="2049" width="120.5" style="6" customWidth="1"/>
    <col min="2050" max="2304" width="10.83203125" style="6"/>
    <col min="2305" max="2305" width="120.5" style="6" customWidth="1"/>
    <col min="2306" max="2560" width="10.83203125" style="6"/>
    <col min="2561" max="2561" width="120.5" style="6" customWidth="1"/>
    <col min="2562" max="2816" width="10.83203125" style="6"/>
    <col min="2817" max="2817" width="120.5" style="6" customWidth="1"/>
    <col min="2818" max="3072" width="10.83203125" style="6"/>
    <col min="3073" max="3073" width="120.5" style="6" customWidth="1"/>
    <col min="3074" max="3328" width="10.83203125" style="6"/>
    <col min="3329" max="3329" width="120.5" style="6" customWidth="1"/>
    <col min="3330" max="3584" width="10.83203125" style="6"/>
    <col min="3585" max="3585" width="120.5" style="6" customWidth="1"/>
    <col min="3586" max="3840" width="10.83203125" style="6"/>
    <col min="3841" max="3841" width="120.5" style="6" customWidth="1"/>
    <col min="3842" max="4096" width="10.83203125" style="6"/>
    <col min="4097" max="4097" width="120.5" style="6" customWidth="1"/>
    <col min="4098" max="4352" width="10.83203125" style="6"/>
    <col min="4353" max="4353" width="120.5" style="6" customWidth="1"/>
    <col min="4354" max="4608" width="10.83203125" style="6"/>
    <col min="4609" max="4609" width="120.5" style="6" customWidth="1"/>
    <col min="4610" max="4864" width="10.83203125" style="6"/>
    <col min="4865" max="4865" width="120.5" style="6" customWidth="1"/>
    <col min="4866" max="5120" width="10.83203125" style="6"/>
    <col min="5121" max="5121" width="120.5" style="6" customWidth="1"/>
    <col min="5122" max="5376" width="10.83203125" style="6"/>
    <col min="5377" max="5377" width="120.5" style="6" customWidth="1"/>
    <col min="5378" max="5632" width="10.83203125" style="6"/>
    <col min="5633" max="5633" width="120.5" style="6" customWidth="1"/>
    <col min="5634" max="5888" width="10.83203125" style="6"/>
    <col min="5889" max="5889" width="120.5" style="6" customWidth="1"/>
    <col min="5890" max="6144" width="10.83203125" style="6"/>
    <col min="6145" max="6145" width="120.5" style="6" customWidth="1"/>
    <col min="6146" max="6400" width="10.83203125" style="6"/>
    <col min="6401" max="6401" width="120.5" style="6" customWidth="1"/>
    <col min="6402" max="6656" width="10.83203125" style="6"/>
    <col min="6657" max="6657" width="120.5" style="6" customWidth="1"/>
    <col min="6658" max="6912" width="10.83203125" style="6"/>
    <col min="6913" max="6913" width="120.5" style="6" customWidth="1"/>
    <col min="6914" max="7168" width="10.83203125" style="6"/>
    <col min="7169" max="7169" width="120.5" style="6" customWidth="1"/>
    <col min="7170" max="7424" width="10.83203125" style="6"/>
    <col min="7425" max="7425" width="120.5" style="6" customWidth="1"/>
    <col min="7426" max="7680" width="10.83203125" style="6"/>
    <col min="7681" max="7681" width="120.5" style="6" customWidth="1"/>
    <col min="7682" max="7936" width="10.83203125" style="6"/>
    <col min="7937" max="7937" width="120.5" style="6" customWidth="1"/>
    <col min="7938" max="8192" width="10.83203125" style="6"/>
    <col min="8193" max="8193" width="120.5" style="6" customWidth="1"/>
    <col min="8194" max="8448" width="10.83203125" style="6"/>
    <col min="8449" max="8449" width="120.5" style="6" customWidth="1"/>
    <col min="8450" max="8704" width="10.83203125" style="6"/>
    <col min="8705" max="8705" width="120.5" style="6" customWidth="1"/>
    <col min="8706" max="8960" width="10.83203125" style="6"/>
    <col min="8961" max="8961" width="120.5" style="6" customWidth="1"/>
    <col min="8962" max="9216" width="10.83203125" style="6"/>
    <col min="9217" max="9217" width="120.5" style="6" customWidth="1"/>
    <col min="9218" max="9472" width="10.83203125" style="6"/>
    <col min="9473" max="9473" width="120.5" style="6" customWidth="1"/>
    <col min="9474" max="9728" width="10.83203125" style="6"/>
    <col min="9729" max="9729" width="120.5" style="6" customWidth="1"/>
    <col min="9730" max="9984" width="10.83203125" style="6"/>
    <col min="9985" max="9985" width="120.5" style="6" customWidth="1"/>
    <col min="9986" max="10240" width="10.83203125" style="6"/>
    <col min="10241" max="10241" width="120.5" style="6" customWidth="1"/>
    <col min="10242" max="10496" width="10.83203125" style="6"/>
    <col min="10497" max="10497" width="120.5" style="6" customWidth="1"/>
    <col min="10498" max="10752" width="10.83203125" style="6"/>
    <col min="10753" max="10753" width="120.5" style="6" customWidth="1"/>
    <col min="10754" max="11008" width="10.83203125" style="6"/>
    <col min="11009" max="11009" width="120.5" style="6" customWidth="1"/>
    <col min="11010" max="11264" width="10.83203125" style="6"/>
    <col min="11265" max="11265" width="120.5" style="6" customWidth="1"/>
    <col min="11266" max="11520" width="10.83203125" style="6"/>
    <col min="11521" max="11521" width="120.5" style="6" customWidth="1"/>
    <col min="11522" max="11776" width="10.83203125" style="6"/>
    <col min="11777" max="11777" width="120.5" style="6" customWidth="1"/>
    <col min="11778" max="12032" width="10.83203125" style="6"/>
    <col min="12033" max="12033" width="120.5" style="6" customWidth="1"/>
    <col min="12034" max="12288" width="10.83203125" style="6"/>
    <col min="12289" max="12289" width="120.5" style="6" customWidth="1"/>
    <col min="12290" max="12544" width="10.83203125" style="6"/>
    <col min="12545" max="12545" width="120.5" style="6" customWidth="1"/>
    <col min="12546" max="12800" width="10.83203125" style="6"/>
    <col min="12801" max="12801" width="120.5" style="6" customWidth="1"/>
    <col min="12802" max="13056" width="10.83203125" style="6"/>
    <col min="13057" max="13057" width="120.5" style="6" customWidth="1"/>
    <col min="13058" max="13312" width="10.83203125" style="6"/>
    <col min="13313" max="13313" width="120.5" style="6" customWidth="1"/>
    <col min="13314" max="13568" width="10.83203125" style="6"/>
    <col min="13569" max="13569" width="120.5" style="6" customWidth="1"/>
    <col min="13570" max="13824" width="10.83203125" style="6"/>
    <col min="13825" max="13825" width="120.5" style="6" customWidth="1"/>
    <col min="13826" max="14080" width="10.83203125" style="6"/>
    <col min="14081" max="14081" width="120.5" style="6" customWidth="1"/>
    <col min="14082" max="14336" width="10.83203125" style="6"/>
    <col min="14337" max="14337" width="120.5" style="6" customWidth="1"/>
    <col min="14338" max="14592" width="10.83203125" style="6"/>
    <col min="14593" max="14593" width="120.5" style="6" customWidth="1"/>
    <col min="14594" max="14848" width="10.83203125" style="6"/>
    <col min="14849" max="14849" width="120.5" style="6" customWidth="1"/>
    <col min="14850" max="15104" width="10.83203125" style="6"/>
    <col min="15105" max="15105" width="120.5" style="6" customWidth="1"/>
    <col min="15106" max="15360" width="10.83203125" style="6"/>
    <col min="15361" max="15361" width="120.5" style="6" customWidth="1"/>
    <col min="15362" max="15616" width="10.83203125" style="6"/>
    <col min="15617" max="15617" width="120.5" style="6" customWidth="1"/>
    <col min="15618" max="15872" width="10.83203125" style="6"/>
    <col min="15873" max="15873" width="120.5" style="6" customWidth="1"/>
    <col min="15874" max="16128" width="10.83203125" style="6"/>
    <col min="16129" max="16129" width="120.5" style="6" customWidth="1"/>
    <col min="16130" max="16384" width="10.83203125" style="6"/>
  </cols>
  <sheetData>
    <row r="1" spans="1:2" ht="10.5" customHeight="1"/>
    <row r="2" spans="1:2" ht="51" customHeight="1">
      <c r="A2" s="8" t="s">
        <v>208</v>
      </c>
    </row>
    <row r="3" spans="1:2">
      <c r="A3" s="3" t="s">
        <v>0</v>
      </c>
    </row>
    <row r="4" spans="1:2">
      <c r="A4" s="4"/>
    </row>
    <row r="5" spans="1:2" ht="60">
      <c r="A5" s="261" t="s">
        <v>226</v>
      </c>
    </row>
    <row r="7" spans="1:2" ht="50.25" customHeight="1">
      <c r="A7" s="262" t="s">
        <v>216</v>
      </c>
    </row>
    <row r="8" spans="1:2">
      <c r="A8" s="5"/>
    </row>
    <row r="9" spans="1:2" ht="30">
      <c r="A9" s="1" t="s">
        <v>220</v>
      </c>
    </row>
    <row r="12" spans="1:2">
      <c r="A12" s="3" t="s">
        <v>1</v>
      </c>
    </row>
    <row r="13" spans="1:2" ht="9" customHeight="1">
      <c r="A13" s="4"/>
    </row>
    <row r="14" spans="1:2" s="9" customFormat="1" ht="30.75" customHeight="1">
      <c r="A14" s="7" t="s">
        <v>209</v>
      </c>
      <c r="B14" s="8"/>
    </row>
    <row r="15" spans="1:2" ht="15" customHeight="1">
      <c r="A15" s="5"/>
    </row>
    <row r="16" spans="1:2" ht="46.5" customHeight="1">
      <c r="A16" s="7" t="s">
        <v>214</v>
      </c>
      <c r="B16" s="8"/>
    </row>
    <row r="17" spans="1:2">
      <c r="A17" s="4"/>
    </row>
    <row r="18" spans="1:2">
      <c r="A18" s="7" t="s">
        <v>213</v>
      </c>
      <c r="B18" s="8"/>
    </row>
    <row r="20" spans="1:2">
      <c r="A20" s="3" t="s">
        <v>2</v>
      </c>
    </row>
    <row r="21" spans="1:2" ht="9" customHeight="1">
      <c r="A21" s="4"/>
    </row>
    <row r="22" spans="1:2">
      <c r="A22" s="7" t="s">
        <v>211</v>
      </c>
      <c r="B22" s="8"/>
    </row>
    <row r="23" spans="1:2" ht="30">
      <c r="A23" s="7" t="s">
        <v>215</v>
      </c>
      <c r="B23" s="8"/>
    </row>
    <row r="24" spans="1:2">
      <c r="A24" s="10"/>
      <c r="B24" s="11"/>
    </row>
    <row r="25" spans="1:2" ht="30">
      <c r="A25" s="7" t="s">
        <v>3</v>
      </c>
      <c r="B25" s="8"/>
    </row>
    <row r="26" spans="1:2">
      <c r="A26" s="12" t="s">
        <v>4</v>
      </c>
    </row>
    <row r="27" spans="1:2">
      <c r="A27" s="1" t="s">
        <v>5</v>
      </c>
    </row>
    <row r="29" spans="1:2">
      <c r="A29" s="13" t="s">
        <v>6</v>
      </c>
    </row>
    <row r="31" spans="1:2">
      <c r="A31" s="3" t="s">
        <v>7</v>
      </c>
    </row>
    <row r="32" spans="1:2" ht="9" customHeight="1">
      <c r="A32" s="4"/>
    </row>
    <row r="33" spans="1:2" ht="77.25" customHeight="1">
      <c r="A33" s="7" t="s">
        <v>8</v>
      </c>
      <c r="B33" s="8"/>
    </row>
    <row r="34" spans="1:2">
      <c r="A34" s="14"/>
    </row>
    <row r="35" spans="1:2" ht="45">
      <c r="A35" s="7" t="s">
        <v>9</v>
      </c>
      <c r="B35" s="8"/>
    </row>
    <row r="36" spans="1:2">
      <c r="A36" s="14"/>
    </row>
    <row r="37" spans="1:2" ht="45">
      <c r="A37" s="7" t="s">
        <v>212</v>
      </c>
      <c r="B37" s="8"/>
    </row>
    <row r="38" spans="1:2">
      <c r="A38" s="14"/>
    </row>
    <row r="39" spans="1:2" ht="63" customHeight="1">
      <c r="A39" s="7" t="s">
        <v>10</v>
      </c>
      <c r="B39" s="8"/>
    </row>
    <row r="40" spans="1:2">
      <c r="A40" s="15"/>
    </row>
    <row r="41" spans="1:2" ht="15" customHeight="1">
      <c r="A41" s="16"/>
    </row>
    <row r="42" spans="1:2">
      <c r="A42" s="17" t="s">
        <v>11</v>
      </c>
    </row>
    <row r="43" spans="1:2" ht="34.5" customHeight="1">
      <c r="A43" s="7" t="s">
        <v>12</v>
      </c>
      <c r="B43" s="8"/>
    </row>
    <row r="44" spans="1:2">
      <c r="A44" s="14"/>
    </row>
    <row r="45" spans="1:2" ht="30.75" customHeight="1">
      <c r="A45" s="7" t="s">
        <v>13</v>
      </c>
      <c r="B45" s="8"/>
    </row>
    <row r="46" spans="1:2">
      <c r="A46" s="14"/>
    </row>
    <row r="47" spans="1:2" ht="30" customHeight="1">
      <c r="A47" s="7" t="s">
        <v>14</v>
      </c>
      <c r="B47" s="8"/>
    </row>
  </sheetData>
  <sheetProtection password="C446" sheet="1" objects="1" scenarios="1"/>
  <pageMargins left="0.55118110236220474" right="0.55118110236220474" top="0.78740157480314965" bottom="0.78740157480314965" header="0.31496062992125984" footer="0.51181102362204722"/>
  <headerFooter alignWithMargins="0">
    <oddHeader>&amp;CReef Check Brasil - instruções substrato</oddHeader>
    <oddFooter>Página &amp;P de &amp;N</oddFooter>
  </headerFooter>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1" enableFormatConditionsCalculation="0"/>
  <dimension ref="A1:AU74"/>
  <sheetViews>
    <sheetView workbookViewId="0">
      <selection activeCell="O5" sqref="O5:S5"/>
    </sheetView>
  </sheetViews>
  <sheetFormatPr baseColWidth="10" defaultColWidth="8.83203125" defaultRowHeight="12" x14ac:dyDescent="0"/>
  <cols>
    <col min="1" max="1" width="1.83203125" style="18" customWidth="1"/>
    <col min="2" max="2" width="5.5" style="19" customWidth="1"/>
    <col min="3" max="3" width="4.83203125" style="20" customWidth="1"/>
    <col min="4" max="4" width="5.5" style="20" customWidth="1"/>
    <col min="5" max="6" width="6.83203125" style="20" customWidth="1"/>
    <col min="7" max="7" width="7.5" style="20" customWidth="1"/>
    <col min="8" max="8" width="5.83203125" style="20" customWidth="1"/>
    <col min="9" max="9" width="7.6640625" style="20" customWidth="1"/>
    <col min="10" max="10" width="5.83203125" style="20" customWidth="1"/>
    <col min="11" max="11" width="7.33203125" style="20" customWidth="1"/>
    <col min="12" max="12" width="8.1640625" style="20" customWidth="1"/>
    <col min="13" max="13" width="7.1640625" style="20" customWidth="1"/>
    <col min="14" max="14" width="5.83203125" style="20" customWidth="1"/>
    <col min="15" max="15" width="7.1640625" style="21" customWidth="1"/>
    <col min="16" max="16" width="5.83203125" style="20" customWidth="1"/>
    <col min="17" max="17" width="7.33203125" style="21" customWidth="1"/>
    <col min="18" max="18" width="5.83203125" style="22" customWidth="1"/>
    <col min="19" max="19" width="7" style="22" customWidth="1"/>
    <col min="20" max="20" width="5.83203125" style="22" customWidth="1"/>
    <col min="21" max="21" width="1.33203125" style="22" customWidth="1"/>
    <col min="22" max="47" width="8.83203125" style="22" customWidth="1"/>
    <col min="48" max="256" width="8.83203125" style="21"/>
    <col min="257" max="257" width="1.83203125" style="21" customWidth="1"/>
    <col min="258" max="258" width="5" style="21" customWidth="1"/>
    <col min="259" max="259" width="4.83203125" style="21" customWidth="1"/>
    <col min="260" max="260" width="5.6640625" style="21" customWidth="1"/>
    <col min="261" max="261" width="5" style="21" customWidth="1"/>
    <col min="262" max="262" width="6.83203125" style="21" customWidth="1"/>
    <col min="263" max="263" width="5.6640625" style="21" customWidth="1"/>
    <col min="264" max="266" width="5.83203125" style="21" customWidth="1"/>
    <col min="267" max="267" width="7.1640625" style="21" customWidth="1"/>
    <col min="268" max="268" width="9.6640625" style="21" customWidth="1"/>
    <col min="269" max="269" width="6.83203125" style="21" customWidth="1"/>
    <col min="270" max="270" width="5.83203125" style="21" customWidth="1"/>
    <col min="271" max="271" width="7.1640625" style="21" customWidth="1"/>
    <col min="272" max="276" width="5.83203125" style="21" customWidth="1"/>
    <col min="277" max="277" width="2.6640625" style="21" customWidth="1"/>
    <col min="278" max="303" width="8.83203125" style="21" customWidth="1"/>
    <col min="304" max="512" width="8.83203125" style="21"/>
    <col min="513" max="513" width="1.83203125" style="21" customWidth="1"/>
    <col min="514" max="514" width="5" style="21" customWidth="1"/>
    <col min="515" max="515" width="4.83203125" style="21" customWidth="1"/>
    <col min="516" max="516" width="5.6640625" style="21" customWidth="1"/>
    <col min="517" max="517" width="5" style="21" customWidth="1"/>
    <col min="518" max="518" width="6.83203125" style="21" customWidth="1"/>
    <col min="519" max="519" width="5.6640625" style="21" customWidth="1"/>
    <col min="520" max="522" width="5.83203125" style="21" customWidth="1"/>
    <col min="523" max="523" width="7.1640625" style="21" customWidth="1"/>
    <col min="524" max="524" width="9.6640625" style="21" customWidth="1"/>
    <col min="525" max="525" width="6.83203125" style="21" customWidth="1"/>
    <col min="526" max="526" width="5.83203125" style="21" customWidth="1"/>
    <col min="527" max="527" width="7.1640625" style="21" customWidth="1"/>
    <col min="528" max="532" width="5.83203125" style="21" customWidth="1"/>
    <col min="533" max="533" width="2.6640625" style="21" customWidth="1"/>
    <col min="534" max="559" width="8.83203125" style="21" customWidth="1"/>
    <col min="560" max="768" width="8.83203125" style="21"/>
    <col min="769" max="769" width="1.83203125" style="21" customWidth="1"/>
    <col min="770" max="770" width="5" style="21" customWidth="1"/>
    <col min="771" max="771" width="4.83203125" style="21" customWidth="1"/>
    <col min="772" max="772" width="5.6640625" style="21" customWidth="1"/>
    <col min="773" max="773" width="5" style="21" customWidth="1"/>
    <col min="774" max="774" width="6.83203125" style="21" customWidth="1"/>
    <col min="775" max="775" width="5.6640625" style="21" customWidth="1"/>
    <col min="776" max="778" width="5.83203125" style="21" customWidth="1"/>
    <col min="779" max="779" width="7.1640625" style="21" customWidth="1"/>
    <col min="780" max="780" width="9.6640625" style="21" customWidth="1"/>
    <col min="781" max="781" width="6.83203125" style="21" customWidth="1"/>
    <col min="782" max="782" width="5.83203125" style="21" customWidth="1"/>
    <col min="783" max="783" width="7.1640625" style="21" customWidth="1"/>
    <col min="784" max="788" width="5.83203125" style="21" customWidth="1"/>
    <col min="789" max="789" width="2.6640625" style="21" customWidth="1"/>
    <col min="790" max="815" width="8.83203125" style="21" customWidth="1"/>
    <col min="816" max="1024" width="8.83203125" style="21"/>
    <col min="1025" max="1025" width="1.83203125" style="21" customWidth="1"/>
    <col min="1026" max="1026" width="5" style="21" customWidth="1"/>
    <col min="1027" max="1027" width="4.83203125" style="21" customWidth="1"/>
    <col min="1028" max="1028" width="5.6640625" style="21" customWidth="1"/>
    <col min="1029" max="1029" width="5" style="21" customWidth="1"/>
    <col min="1030" max="1030" width="6.83203125" style="21" customWidth="1"/>
    <col min="1031" max="1031" width="5.6640625" style="21" customWidth="1"/>
    <col min="1032" max="1034" width="5.83203125" style="21" customWidth="1"/>
    <col min="1035" max="1035" width="7.1640625" style="21" customWidth="1"/>
    <col min="1036" max="1036" width="9.6640625" style="21" customWidth="1"/>
    <col min="1037" max="1037" width="6.83203125" style="21" customWidth="1"/>
    <col min="1038" max="1038" width="5.83203125" style="21" customWidth="1"/>
    <col min="1039" max="1039" width="7.1640625" style="21" customWidth="1"/>
    <col min="1040" max="1044" width="5.83203125" style="21" customWidth="1"/>
    <col min="1045" max="1045" width="2.6640625" style="21" customWidth="1"/>
    <col min="1046" max="1071" width="8.83203125" style="21" customWidth="1"/>
    <col min="1072" max="1280" width="8.83203125" style="21"/>
    <col min="1281" max="1281" width="1.83203125" style="21" customWidth="1"/>
    <col min="1282" max="1282" width="5" style="21" customWidth="1"/>
    <col min="1283" max="1283" width="4.83203125" style="21" customWidth="1"/>
    <col min="1284" max="1284" width="5.6640625" style="21" customWidth="1"/>
    <col min="1285" max="1285" width="5" style="21" customWidth="1"/>
    <col min="1286" max="1286" width="6.83203125" style="21" customWidth="1"/>
    <col min="1287" max="1287" width="5.6640625" style="21" customWidth="1"/>
    <col min="1288" max="1290" width="5.83203125" style="21" customWidth="1"/>
    <col min="1291" max="1291" width="7.1640625" style="21" customWidth="1"/>
    <col min="1292" max="1292" width="9.6640625" style="21" customWidth="1"/>
    <col min="1293" max="1293" width="6.83203125" style="21" customWidth="1"/>
    <col min="1294" max="1294" width="5.83203125" style="21" customWidth="1"/>
    <col min="1295" max="1295" width="7.1640625" style="21" customWidth="1"/>
    <col min="1296" max="1300" width="5.83203125" style="21" customWidth="1"/>
    <col min="1301" max="1301" width="2.6640625" style="21" customWidth="1"/>
    <col min="1302" max="1327" width="8.83203125" style="21" customWidth="1"/>
    <col min="1328" max="1536" width="8.83203125" style="21"/>
    <col min="1537" max="1537" width="1.83203125" style="21" customWidth="1"/>
    <col min="1538" max="1538" width="5" style="21" customWidth="1"/>
    <col min="1539" max="1539" width="4.83203125" style="21" customWidth="1"/>
    <col min="1540" max="1540" width="5.6640625" style="21" customWidth="1"/>
    <col min="1541" max="1541" width="5" style="21" customWidth="1"/>
    <col min="1542" max="1542" width="6.83203125" style="21" customWidth="1"/>
    <col min="1543" max="1543" width="5.6640625" style="21" customWidth="1"/>
    <col min="1544" max="1546" width="5.83203125" style="21" customWidth="1"/>
    <col min="1547" max="1547" width="7.1640625" style="21" customWidth="1"/>
    <col min="1548" max="1548" width="9.6640625" style="21" customWidth="1"/>
    <col min="1549" max="1549" width="6.83203125" style="21" customWidth="1"/>
    <col min="1550" max="1550" width="5.83203125" style="21" customWidth="1"/>
    <col min="1551" max="1551" width="7.1640625" style="21" customWidth="1"/>
    <col min="1552" max="1556" width="5.83203125" style="21" customWidth="1"/>
    <col min="1557" max="1557" width="2.6640625" style="21" customWidth="1"/>
    <col min="1558" max="1583" width="8.83203125" style="21" customWidth="1"/>
    <col min="1584" max="1792" width="8.83203125" style="21"/>
    <col min="1793" max="1793" width="1.83203125" style="21" customWidth="1"/>
    <col min="1794" max="1794" width="5" style="21" customWidth="1"/>
    <col min="1795" max="1795" width="4.83203125" style="21" customWidth="1"/>
    <col min="1796" max="1796" width="5.6640625" style="21" customWidth="1"/>
    <col min="1797" max="1797" width="5" style="21" customWidth="1"/>
    <col min="1798" max="1798" width="6.83203125" style="21" customWidth="1"/>
    <col min="1799" max="1799" width="5.6640625" style="21" customWidth="1"/>
    <col min="1800" max="1802" width="5.83203125" style="21" customWidth="1"/>
    <col min="1803" max="1803" width="7.1640625" style="21" customWidth="1"/>
    <col min="1804" max="1804" width="9.6640625" style="21" customWidth="1"/>
    <col min="1805" max="1805" width="6.83203125" style="21" customWidth="1"/>
    <col min="1806" max="1806" width="5.83203125" style="21" customWidth="1"/>
    <col min="1807" max="1807" width="7.1640625" style="21" customWidth="1"/>
    <col min="1808" max="1812" width="5.83203125" style="21" customWidth="1"/>
    <col min="1813" max="1813" width="2.6640625" style="21" customWidth="1"/>
    <col min="1814" max="1839" width="8.83203125" style="21" customWidth="1"/>
    <col min="1840" max="2048" width="8.83203125" style="21"/>
    <col min="2049" max="2049" width="1.83203125" style="21" customWidth="1"/>
    <col min="2050" max="2050" width="5" style="21" customWidth="1"/>
    <col min="2051" max="2051" width="4.83203125" style="21" customWidth="1"/>
    <col min="2052" max="2052" width="5.6640625" style="21" customWidth="1"/>
    <col min="2053" max="2053" width="5" style="21" customWidth="1"/>
    <col min="2054" max="2054" width="6.83203125" style="21" customWidth="1"/>
    <col min="2055" max="2055" width="5.6640625" style="21" customWidth="1"/>
    <col min="2056" max="2058" width="5.83203125" style="21" customWidth="1"/>
    <col min="2059" max="2059" width="7.1640625" style="21" customWidth="1"/>
    <col min="2060" max="2060" width="9.6640625" style="21" customWidth="1"/>
    <col min="2061" max="2061" width="6.83203125" style="21" customWidth="1"/>
    <col min="2062" max="2062" width="5.83203125" style="21" customWidth="1"/>
    <col min="2063" max="2063" width="7.1640625" style="21" customWidth="1"/>
    <col min="2064" max="2068" width="5.83203125" style="21" customWidth="1"/>
    <col min="2069" max="2069" width="2.6640625" style="21" customWidth="1"/>
    <col min="2070" max="2095" width="8.83203125" style="21" customWidth="1"/>
    <col min="2096" max="2304" width="8.83203125" style="21"/>
    <col min="2305" max="2305" width="1.83203125" style="21" customWidth="1"/>
    <col min="2306" max="2306" width="5" style="21" customWidth="1"/>
    <col min="2307" max="2307" width="4.83203125" style="21" customWidth="1"/>
    <col min="2308" max="2308" width="5.6640625" style="21" customWidth="1"/>
    <col min="2309" max="2309" width="5" style="21" customWidth="1"/>
    <col min="2310" max="2310" width="6.83203125" style="21" customWidth="1"/>
    <col min="2311" max="2311" width="5.6640625" style="21" customWidth="1"/>
    <col min="2312" max="2314" width="5.83203125" style="21" customWidth="1"/>
    <col min="2315" max="2315" width="7.1640625" style="21" customWidth="1"/>
    <col min="2316" max="2316" width="9.6640625" style="21" customWidth="1"/>
    <col min="2317" max="2317" width="6.83203125" style="21" customWidth="1"/>
    <col min="2318" max="2318" width="5.83203125" style="21" customWidth="1"/>
    <col min="2319" max="2319" width="7.1640625" style="21" customWidth="1"/>
    <col min="2320" max="2324" width="5.83203125" style="21" customWidth="1"/>
    <col min="2325" max="2325" width="2.6640625" style="21" customWidth="1"/>
    <col min="2326" max="2351" width="8.83203125" style="21" customWidth="1"/>
    <col min="2352" max="2560" width="8.83203125" style="21"/>
    <col min="2561" max="2561" width="1.83203125" style="21" customWidth="1"/>
    <col min="2562" max="2562" width="5" style="21" customWidth="1"/>
    <col min="2563" max="2563" width="4.83203125" style="21" customWidth="1"/>
    <col min="2564" max="2564" width="5.6640625" style="21" customWidth="1"/>
    <col min="2565" max="2565" width="5" style="21" customWidth="1"/>
    <col min="2566" max="2566" width="6.83203125" style="21" customWidth="1"/>
    <col min="2567" max="2567" width="5.6640625" style="21" customWidth="1"/>
    <col min="2568" max="2570" width="5.83203125" style="21" customWidth="1"/>
    <col min="2571" max="2571" width="7.1640625" style="21" customWidth="1"/>
    <col min="2572" max="2572" width="9.6640625" style="21" customWidth="1"/>
    <col min="2573" max="2573" width="6.83203125" style="21" customWidth="1"/>
    <col min="2574" max="2574" width="5.83203125" style="21" customWidth="1"/>
    <col min="2575" max="2575" width="7.1640625" style="21" customWidth="1"/>
    <col min="2576" max="2580" width="5.83203125" style="21" customWidth="1"/>
    <col min="2581" max="2581" width="2.6640625" style="21" customWidth="1"/>
    <col min="2582" max="2607" width="8.83203125" style="21" customWidth="1"/>
    <col min="2608" max="2816" width="8.83203125" style="21"/>
    <col min="2817" max="2817" width="1.83203125" style="21" customWidth="1"/>
    <col min="2818" max="2818" width="5" style="21" customWidth="1"/>
    <col min="2819" max="2819" width="4.83203125" style="21" customWidth="1"/>
    <col min="2820" max="2820" width="5.6640625" style="21" customWidth="1"/>
    <col min="2821" max="2821" width="5" style="21" customWidth="1"/>
    <col min="2822" max="2822" width="6.83203125" style="21" customWidth="1"/>
    <col min="2823" max="2823" width="5.6640625" style="21" customWidth="1"/>
    <col min="2824" max="2826" width="5.83203125" style="21" customWidth="1"/>
    <col min="2827" max="2827" width="7.1640625" style="21" customWidth="1"/>
    <col min="2828" max="2828" width="9.6640625" style="21" customWidth="1"/>
    <col min="2829" max="2829" width="6.83203125" style="21" customWidth="1"/>
    <col min="2830" max="2830" width="5.83203125" style="21" customWidth="1"/>
    <col min="2831" max="2831" width="7.1640625" style="21" customWidth="1"/>
    <col min="2832" max="2836" width="5.83203125" style="21" customWidth="1"/>
    <col min="2837" max="2837" width="2.6640625" style="21" customWidth="1"/>
    <col min="2838" max="2863" width="8.83203125" style="21" customWidth="1"/>
    <col min="2864" max="3072" width="8.83203125" style="21"/>
    <col min="3073" max="3073" width="1.83203125" style="21" customWidth="1"/>
    <col min="3074" max="3074" width="5" style="21" customWidth="1"/>
    <col min="3075" max="3075" width="4.83203125" style="21" customWidth="1"/>
    <col min="3076" max="3076" width="5.6640625" style="21" customWidth="1"/>
    <col min="3077" max="3077" width="5" style="21" customWidth="1"/>
    <col min="3078" max="3078" width="6.83203125" style="21" customWidth="1"/>
    <col min="3079" max="3079" width="5.6640625" style="21" customWidth="1"/>
    <col min="3080" max="3082" width="5.83203125" style="21" customWidth="1"/>
    <col min="3083" max="3083" width="7.1640625" style="21" customWidth="1"/>
    <col min="3084" max="3084" width="9.6640625" style="21" customWidth="1"/>
    <col min="3085" max="3085" width="6.83203125" style="21" customWidth="1"/>
    <col min="3086" max="3086" width="5.83203125" style="21" customWidth="1"/>
    <col min="3087" max="3087" width="7.1640625" style="21" customWidth="1"/>
    <col min="3088" max="3092" width="5.83203125" style="21" customWidth="1"/>
    <col min="3093" max="3093" width="2.6640625" style="21" customWidth="1"/>
    <col min="3094" max="3119" width="8.83203125" style="21" customWidth="1"/>
    <col min="3120" max="3328" width="8.83203125" style="21"/>
    <col min="3329" max="3329" width="1.83203125" style="21" customWidth="1"/>
    <col min="3330" max="3330" width="5" style="21" customWidth="1"/>
    <col min="3331" max="3331" width="4.83203125" style="21" customWidth="1"/>
    <col min="3332" max="3332" width="5.6640625" style="21" customWidth="1"/>
    <col min="3333" max="3333" width="5" style="21" customWidth="1"/>
    <col min="3334" max="3334" width="6.83203125" style="21" customWidth="1"/>
    <col min="3335" max="3335" width="5.6640625" style="21" customWidth="1"/>
    <col min="3336" max="3338" width="5.83203125" style="21" customWidth="1"/>
    <col min="3339" max="3339" width="7.1640625" style="21" customWidth="1"/>
    <col min="3340" max="3340" width="9.6640625" style="21" customWidth="1"/>
    <col min="3341" max="3341" width="6.83203125" style="21" customWidth="1"/>
    <col min="3342" max="3342" width="5.83203125" style="21" customWidth="1"/>
    <col min="3343" max="3343" width="7.1640625" style="21" customWidth="1"/>
    <col min="3344" max="3348" width="5.83203125" style="21" customWidth="1"/>
    <col min="3349" max="3349" width="2.6640625" style="21" customWidth="1"/>
    <col min="3350" max="3375" width="8.83203125" style="21" customWidth="1"/>
    <col min="3376" max="3584" width="8.83203125" style="21"/>
    <col min="3585" max="3585" width="1.83203125" style="21" customWidth="1"/>
    <col min="3586" max="3586" width="5" style="21" customWidth="1"/>
    <col min="3587" max="3587" width="4.83203125" style="21" customWidth="1"/>
    <col min="3588" max="3588" width="5.6640625" style="21" customWidth="1"/>
    <col min="3589" max="3589" width="5" style="21" customWidth="1"/>
    <col min="3590" max="3590" width="6.83203125" style="21" customWidth="1"/>
    <col min="3591" max="3591" width="5.6640625" style="21" customWidth="1"/>
    <col min="3592" max="3594" width="5.83203125" style="21" customWidth="1"/>
    <col min="3595" max="3595" width="7.1640625" style="21" customWidth="1"/>
    <col min="3596" max="3596" width="9.6640625" style="21" customWidth="1"/>
    <col min="3597" max="3597" width="6.83203125" style="21" customWidth="1"/>
    <col min="3598" max="3598" width="5.83203125" style="21" customWidth="1"/>
    <col min="3599" max="3599" width="7.1640625" style="21" customWidth="1"/>
    <col min="3600" max="3604" width="5.83203125" style="21" customWidth="1"/>
    <col min="3605" max="3605" width="2.6640625" style="21" customWidth="1"/>
    <col min="3606" max="3631" width="8.83203125" style="21" customWidth="1"/>
    <col min="3632" max="3840" width="8.83203125" style="21"/>
    <col min="3841" max="3841" width="1.83203125" style="21" customWidth="1"/>
    <col min="3842" max="3842" width="5" style="21" customWidth="1"/>
    <col min="3843" max="3843" width="4.83203125" style="21" customWidth="1"/>
    <col min="3844" max="3844" width="5.6640625" style="21" customWidth="1"/>
    <col min="3845" max="3845" width="5" style="21" customWidth="1"/>
    <col min="3846" max="3846" width="6.83203125" style="21" customWidth="1"/>
    <col min="3847" max="3847" width="5.6640625" style="21" customWidth="1"/>
    <col min="3848" max="3850" width="5.83203125" style="21" customWidth="1"/>
    <col min="3851" max="3851" width="7.1640625" style="21" customWidth="1"/>
    <col min="3852" max="3852" width="9.6640625" style="21" customWidth="1"/>
    <col min="3853" max="3853" width="6.83203125" style="21" customWidth="1"/>
    <col min="3854" max="3854" width="5.83203125" style="21" customWidth="1"/>
    <col min="3855" max="3855" width="7.1640625" style="21" customWidth="1"/>
    <col min="3856" max="3860" width="5.83203125" style="21" customWidth="1"/>
    <col min="3861" max="3861" width="2.6640625" style="21" customWidth="1"/>
    <col min="3862" max="3887" width="8.83203125" style="21" customWidth="1"/>
    <col min="3888" max="4096" width="8.83203125" style="21"/>
    <col min="4097" max="4097" width="1.83203125" style="21" customWidth="1"/>
    <col min="4098" max="4098" width="5" style="21" customWidth="1"/>
    <col min="4099" max="4099" width="4.83203125" style="21" customWidth="1"/>
    <col min="4100" max="4100" width="5.6640625" style="21" customWidth="1"/>
    <col min="4101" max="4101" width="5" style="21" customWidth="1"/>
    <col min="4102" max="4102" width="6.83203125" style="21" customWidth="1"/>
    <col min="4103" max="4103" width="5.6640625" style="21" customWidth="1"/>
    <col min="4104" max="4106" width="5.83203125" style="21" customWidth="1"/>
    <col min="4107" max="4107" width="7.1640625" style="21" customWidth="1"/>
    <col min="4108" max="4108" width="9.6640625" style="21" customWidth="1"/>
    <col min="4109" max="4109" width="6.83203125" style="21" customWidth="1"/>
    <col min="4110" max="4110" width="5.83203125" style="21" customWidth="1"/>
    <col min="4111" max="4111" width="7.1640625" style="21" customWidth="1"/>
    <col min="4112" max="4116" width="5.83203125" style="21" customWidth="1"/>
    <col min="4117" max="4117" width="2.6640625" style="21" customWidth="1"/>
    <col min="4118" max="4143" width="8.83203125" style="21" customWidth="1"/>
    <col min="4144" max="4352" width="8.83203125" style="21"/>
    <col min="4353" max="4353" width="1.83203125" style="21" customWidth="1"/>
    <col min="4354" max="4354" width="5" style="21" customWidth="1"/>
    <col min="4355" max="4355" width="4.83203125" style="21" customWidth="1"/>
    <col min="4356" max="4356" width="5.6640625" style="21" customWidth="1"/>
    <col min="4357" max="4357" width="5" style="21" customWidth="1"/>
    <col min="4358" max="4358" width="6.83203125" style="21" customWidth="1"/>
    <col min="4359" max="4359" width="5.6640625" style="21" customWidth="1"/>
    <col min="4360" max="4362" width="5.83203125" style="21" customWidth="1"/>
    <col min="4363" max="4363" width="7.1640625" style="21" customWidth="1"/>
    <col min="4364" max="4364" width="9.6640625" style="21" customWidth="1"/>
    <col min="4365" max="4365" width="6.83203125" style="21" customWidth="1"/>
    <col min="4366" max="4366" width="5.83203125" style="21" customWidth="1"/>
    <col min="4367" max="4367" width="7.1640625" style="21" customWidth="1"/>
    <col min="4368" max="4372" width="5.83203125" style="21" customWidth="1"/>
    <col min="4373" max="4373" width="2.6640625" style="21" customWidth="1"/>
    <col min="4374" max="4399" width="8.83203125" style="21" customWidth="1"/>
    <col min="4400" max="4608" width="8.83203125" style="21"/>
    <col min="4609" max="4609" width="1.83203125" style="21" customWidth="1"/>
    <col min="4610" max="4610" width="5" style="21" customWidth="1"/>
    <col min="4611" max="4611" width="4.83203125" style="21" customWidth="1"/>
    <col min="4612" max="4612" width="5.6640625" style="21" customWidth="1"/>
    <col min="4613" max="4613" width="5" style="21" customWidth="1"/>
    <col min="4614" max="4614" width="6.83203125" style="21" customWidth="1"/>
    <col min="4615" max="4615" width="5.6640625" style="21" customWidth="1"/>
    <col min="4616" max="4618" width="5.83203125" style="21" customWidth="1"/>
    <col min="4619" max="4619" width="7.1640625" style="21" customWidth="1"/>
    <col min="4620" max="4620" width="9.6640625" style="21" customWidth="1"/>
    <col min="4621" max="4621" width="6.83203125" style="21" customWidth="1"/>
    <col min="4622" max="4622" width="5.83203125" style="21" customWidth="1"/>
    <col min="4623" max="4623" width="7.1640625" style="21" customWidth="1"/>
    <col min="4624" max="4628" width="5.83203125" style="21" customWidth="1"/>
    <col min="4629" max="4629" width="2.6640625" style="21" customWidth="1"/>
    <col min="4630" max="4655" width="8.83203125" style="21" customWidth="1"/>
    <col min="4656" max="4864" width="8.83203125" style="21"/>
    <col min="4865" max="4865" width="1.83203125" style="21" customWidth="1"/>
    <col min="4866" max="4866" width="5" style="21" customWidth="1"/>
    <col min="4867" max="4867" width="4.83203125" style="21" customWidth="1"/>
    <col min="4868" max="4868" width="5.6640625" style="21" customWidth="1"/>
    <col min="4869" max="4869" width="5" style="21" customWidth="1"/>
    <col min="4870" max="4870" width="6.83203125" style="21" customWidth="1"/>
    <col min="4871" max="4871" width="5.6640625" style="21" customWidth="1"/>
    <col min="4872" max="4874" width="5.83203125" style="21" customWidth="1"/>
    <col min="4875" max="4875" width="7.1640625" style="21" customWidth="1"/>
    <col min="4876" max="4876" width="9.6640625" style="21" customWidth="1"/>
    <col min="4877" max="4877" width="6.83203125" style="21" customWidth="1"/>
    <col min="4878" max="4878" width="5.83203125" style="21" customWidth="1"/>
    <col min="4879" max="4879" width="7.1640625" style="21" customWidth="1"/>
    <col min="4880" max="4884" width="5.83203125" style="21" customWidth="1"/>
    <col min="4885" max="4885" width="2.6640625" style="21" customWidth="1"/>
    <col min="4886" max="4911" width="8.83203125" style="21" customWidth="1"/>
    <col min="4912" max="5120" width="8.83203125" style="21"/>
    <col min="5121" max="5121" width="1.83203125" style="21" customWidth="1"/>
    <col min="5122" max="5122" width="5" style="21" customWidth="1"/>
    <col min="5123" max="5123" width="4.83203125" style="21" customWidth="1"/>
    <col min="5124" max="5124" width="5.6640625" style="21" customWidth="1"/>
    <col min="5125" max="5125" width="5" style="21" customWidth="1"/>
    <col min="5126" max="5126" width="6.83203125" style="21" customWidth="1"/>
    <col min="5127" max="5127" width="5.6640625" style="21" customWidth="1"/>
    <col min="5128" max="5130" width="5.83203125" style="21" customWidth="1"/>
    <col min="5131" max="5131" width="7.1640625" style="21" customWidth="1"/>
    <col min="5132" max="5132" width="9.6640625" style="21" customWidth="1"/>
    <col min="5133" max="5133" width="6.83203125" style="21" customWidth="1"/>
    <col min="5134" max="5134" width="5.83203125" style="21" customWidth="1"/>
    <col min="5135" max="5135" width="7.1640625" style="21" customWidth="1"/>
    <col min="5136" max="5140" width="5.83203125" style="21" customWidth="1"/>
    <col min="5141" max="5141" width="2.6640625" style="21" customWidth="1"/>
    <col min="5142" max="5167" width="8.83203125" style="21" customWidth="1"/>
    <col min="5168" max="5376" width="8.83203125" style="21"/>
    <col min="5377" max="5377" width="1.83203125" style="21" customWidth="1"/>
    <col min="5378" max="5378" width="5" style="21" customWidth="1"/>
    <col min="5379" max="5379" width="4.83203125" style="21" customWidth="1"/>
    <col min="5380" max="5380" width="5.6640625" style="21" customWidth="1"/>
    <col min="5381" max="5381" width="5" style="21" customWidth="1"/>
    <col min="5382" max="5382" width="6.83203125" style="21" customWidth="1"/>
    <col min="5383" max="5383" width="5.6640625" style="21" customWidth="1"/>
    <col min="5384" max="5386" width="5.83203125" style="21" customWidth="1"/>
    <col min="5387" max="5387" width="7.1640625" style="21" customWidth="1"/>
    <col min="5388" max="5388" width="9.6640625" style="21" customWidth="1"/>
    <col min="5389" max="5389" width="6.83203125" style="21" customWidth="1"/>
    <col min="5390" max="5390" width="5.83203125" style="21" customWidth="1"/>
    <col min="5391" max="5391" width="7.1640625" style="21" customWidth="1"/>
    <col min="5392" max="5396" width="5.83203125" style="21" customWidth="1"/>
    <col min="5397" max="5397" width="2.6640625" style="21" customWidth="1"/>
    <col min="5398" max="5423" width="8.83203125" style="21" customWidth="1"/>
    <col min="5424" max="5632" width="8.83203125" style="21"/>
    <col min="5633" max="5633" width="1.83203125" style="21" customWidth="1"/>
    <col min="5634" max="5634" width="5" style="21" customWidth="1"/>
    <col min="5635" max="5635" width="4.83203125" style="21" customWidth="1"/>
    <col min="5636" max="5636" width="5.6640625" style="21" customWidth="1"/>
    <col min="5637" max="5637" width="5" style="21" customWidth="1"/>
    <col min="5638" max="5638" width="6.83203125" style="21" customWidth="1"/>
    <col min="5639" max="5639" width="5.6640625" style="21" customWidth="1"/>
    <col min="5640" max="5642" width="5.83203125" style="21" customWidth="1"/>
    <col min="5643" max="5643" width="7.1640625" style="21" customWidth="1"/>
    <col min="5644" max="5644" width="9.6640625" style="21" customWidth="1"/>
    <col min="5645" max="5645" width="6.83203125" style="21" customWidth="1"/>
    <col min="5646" max="5646" width="5.83203125" style="21" customWidth="1"/>
    <col min="5647" max="5647" width="7.1640625" style="21" customWidth="1"/>
    <col min="5648" max="5652" width="5.83203125" style="21" customWidth="1"/>
    <col min="5653" max="5653" width="2.6640625" style="21" customWidth="1"/>
    <col min="5654" max="5679" width="8.83203125" style="21" customWidth="1"/>
    <col min="5680" max="5888" width="8.83203125" style="21"/>
    <col min="5889" max="5889" width="1.83203125" style="21" customWidth="1"/>
    <col min="5890" max="5890" width="5" style="21" customWidth="1"/>
    <col min="5891" max="5891" width="4.83203125" style="21" customWidth="1"/>
    <col min="5892" max="5892" width="5.6640625" style="21" customWidth="1"/>
    <col min="5893" max="5893" width="5" style="21" customWidth="1"/>
    <col min="5894" max="5894" width="6.83203125" style="21" customWidth="1"/>
    <col min="5895" max="5895" width="5.6640625" style="21" customWidth="1"/>
    <col min="5896" max="5898" width="5.83203125" style="21" customWidth="1"/>
    <col min="5899" max="5899" width="7.1640625" style="21" customWidth="1"/>
    <col min="5900" max="5900" width="9.6640625" style="21" customWidth="1"/>
    <col min="5901" max="5901" width="6.83203125" style="21" customWidth="1"/>
    <col min="5902" max="5902" width="5.83203125" style="21" customWidth="1"/>
    <col min="5903" max="5903" width="7.1640625" style="21" customWidth="1"/>
    <col min="5904" max="5908" width="5.83203125" style="21" customWidth="1"/>
    <col min="5909" max="5909" width="2.6640625" style="21" customWidth="1"/>
    <col min="5910" max="5935" width="8.83203125" style="21" customWidth="1"/>
    <col min="5936" max="6144" width="8.83203125" style="21"/>
    <col min="6145" max="6145" width="1.83203125" style="21" customWidth="1"/>
    <col min="6146" max="6146" width="5" style="21" customWidth="1"/>
    <col min="6147" max="6147" width="4.83203125" style="21" customWidth="1"/>
    <col min="6148" max="6148" width="5.6640625" style="21" customWidth="1"/>
    <col min="6149" max="6149" width="5" style="21" customWidth="1"/>
    <col min="6150" max="6150" width="6.83203125" style="21" customWidth="1"/>
    <col min="6151" max="6151" width="5.6640625" style="21" customWidth="1"/>
    <col min="6152" max="6154" width="5.83203125" style="21" customWidth="1"/>
    <col min="6155" max="6155" width="7.1640625" style="21" customWidth="1"/>
    <col min="6156" max="6156" width="9.6640625" style="21" customWidth="1"/>
    <col min="6157" max="6157" width="6.83203125" style="21" customWidth="1"/>
    <col min="6158" max="6158" width="5.83203125" style="21" customWidth="1"/>
    <col min="6159" max="6159" width="7.1640625" style="21" customWidth="1"/>
    <col min="6160" max="6164" width="5.83203125" style="21" customWidth="1"/>
    <col min="6165" max="6165" width="2.6640625" style="21" customWidth="1"/>
    <col min="6166" max="6191" width="8.83203125" style="21" customWidth="1"/>
    <col min="6192" max="6400" width="8.83203125" style="21"/>
    <col min="6401" max="6401" width="1.83203125" style="21" customWidth="1"/>
    <col min="6402" max="6402" width="5" style="21" customWidth="1"/>
    <col min="6403" max="6403" width="4.83203125" style="21" customWidth="1"/>
    <col min="6404" max="6404" width="5.6640625" style="21" customWidth="1"/>
    <col min="6405" max="6405" width="5" style="21" customWidth="1"/>
    <col min="6406" max="6406" width="6.83203125" style="21" customWidth="1"/>
    <col min="6407" max="6407" width="5.6640625" style="21" customWidth="1"/>
    <col min="6408" max="6410" width="5.83203125" style="21" customWidth="1"/>
    <col min="6411" max="6411" width="7.1640625" style="21" customWidth="1"/>
    <col min="6412" max="6412" width="9.6640625" style="21" customWidth="1"/>
    <col min="6413" max="6413" width="6.83203125" style="21" customWidth="1"/>
    <col min="6414" max="6414" width="5.83203125" style="21" customWidth="1"/>
    <col min="6415" max="6415" width="7.1640625" style="21" customWidth="1"/>
    <col min="6416" max="6420" width="5.83203125" style="21" customWidth="1"/>
    <col min="6421" max="6421" width="2.6640625" style="21" customWidth="1"/>
    <col min="6422" max="6447" width="8.83203125" style="21" customWidth="1"/>
    <col min="6448" max="6656" width="8.83203125" style="21"/>
    <col min="6657" max="6657" width="1.83203125" style="21" customWidth="1"/>
    <col min="6658" max="6658" width="5" style="21" customWidth="1"/>
    <col min="6659" max="6659" width="4.83203125" style="21" customWidth="1"/>
    <col min="6660" max="6660" width="5.6640625" style="21" customWidth="1"/>
    <col min="6661" max="6661" width="5" style="21" customWidth="1"/>
    <col min="6662" max="6662" width="6.83203125" style="21" customWidth="1"/>
    <col min="6663" max="6663" width="5.6640625" style="21" customWidth="1"/>
    <col min="6664" max="6666" width="5.83203125" style="21" customWidth="1"/>
    <col min="6667" max="6667" width="7.1640625" style="21" customWidth="1"/>
    <col min="6668" max="6668" width="9.6640625" style="21" customWidth="1"/>
    <col min="6669" max="6669" width="6.83203125" style="21" customWidth="1"/>
    <col min="6670" max="6670" width="5.83203125" style="21" customWidth="1"/>
    <col min="6671" max="6671" width="7.1640625" style="21" customWidth="1"/>
    <col min="6672" max="6676" width="5.83203125" style="21" customWidth="1"/>
    <col min="6677" max="6677" width="2.6640625" style="21" customWidth="1"/>
    <col min="6678" max="6703" width="8.83203125" style="21" customWidth="1"/>
    <col min="6704" max="6912" width="8.83203125" style="21"/>
    <col min="6913" max="6913" width="1.83203125" style="21" customWidth="1"/>
    <col min="6914" max="6914" width="5" style="21" customWidth="1"/>
    <col min="6915" max="6915" width="4.83203125" style="21" customWidth="1"/>
    <col min="6916" max="6916" width="5.6640625" style="21" customWidth="1"/>
    <col min="6917" max="6917" width="5" style="21" customWidth="1"/>
    <col min="6918" max="6918" width="6.83203125" style="21" customWidth="1"/>
    <col min="6919" max="6919" width="5.6640625" style="21" customWidth="1"/>
    <col min="6920" max="6922" width="5.83203125" style="21" customWidth="1"/>
    <col min="6923" max="6923" width="7.1640625" style="21" customWidth="1"/>
    <col min="6924" max="6924" width="9.6640625" style="21" customWidth="1"/>
    <col min="6925" max="6925" width="6.83203125" style="21" customWidth="1"/>
    <col min="6926" max="6926" width="5.83203125" style="21" customWidth="1"/>
    <col min="6927" max="6927" width="7.1640625" style="21" customWidth="1"/>
    <col min="6928" max="6932" width="5.83203125" style="21" customWidth="1"/>
    <col min="6933" max="6933" width="2.6640625" style="21" customWidth="1"/>
    <col min="6934" max="6959" width="8.83203125" style="21" customWidth="1"/>
    <col min="6960" max="7168" width="8.83203125" style="21"/>
    <col min="7169" max="7169" width="1.83203125" style="21" customWidth="1"/>
    <col min="7170" max="7170" width="5" style="21" customWidth="1"/>
    <col min="7171" max="7171" width="4.83203125" style="21" customWidth="1"/>
    <col min="7172" max="7172" width="5.6640625" style="21" customWidth="1"/>
    <col min="7173" max="7173" width="5" style="21" customWidth="1"/>
    <col min="7174" max="7174" width="6.83203125" style="21" customWidth="1"/>
    <col min="7175" max="7175" width="5.6640625" style="21" customWidth="1"/>
    <col min="7176" max="7178" width="5.83203125" style="21" customWidth="1"/>
    <col min="7179" max="7179" width="7.1640625" style="21" customWidth="1"/>
    <col min="7180" max="7180" width="9.6640625" style="21" customWidth="1"/>
    <col min="7181" max="7181" width="6.83203125" style="21" customWidth="1"/>
    <col min="7182" max="7182" width="5.83203125" style="21" customWidth="1"/>
    <col min="7183" max="7183" width="7.1640625" style="21" customWidth="1"/>
    <col min="7184" max="7188" width="5.83203125" style="21" customWidth="1"/>
    <col min="7189" max="7189" width="2.6640625" style="21" customWidth="1"/>
    <col min="7190" max="7215" width="8.83203125" style="21" customWidth="1"/>
    <col min="7216" max="7424" width="8.83203125" style="21"/>
    <col min="7425" max="7425" width="1.83203125" style="21" customWidth="1"/>
    <col min="7426" max="7426" width="5" style="21" customWidth="1"/>
    <col min="7427" max="7427" width="4.83203125" style="21" customWidth="1"/>
    <col min="7428" max="7428" width="5.6640625" style="21" customWidth="1"/>
    <col min="7429" max="7429" width="5" style="21" customWidth="1"/>
    <col min="7430" max="7430" width="6.83203125" style="21" customWidth="1"/>
    <col min="7431" max="7431" width="5.6640625" style="21" customWidth="1"/>
    <col min="7432" max="7434" width="5.83203125" style="21" customWidth="1"/>
    <col min="7435" max="7435" width="7.1640625" style="21" customWidth="1"/>
    <col min="7436" max="7436" width="9.6640625" style="21" customWidth="1"/>
    <col min="7437" max="7437" width="6.83203125" style="21" customWidth="1"/>
    <col min="7438" max="7438" width="5.83203125" style="21" customWidth="1"/>
    <col min="7439" max="7439" width="7.1640625" style="21" customWidth="1"/>
    <col min="7440" max="7444" width="5.83203125" style="21" customWidth="1"/>
    <col min="7445" max="7445" width="2.6640625" style="21" customWidth="1"/>
    <col min="7446" max="7471" width="8.83203125" style="21" customWidth="1"/>
    <col min="7472" max="7680" width="8.83203125" style="21"/>
    <col min="7681" max="7681" width="1.83203125" style="21" customWidth="1"/>
    <col min="7682" max="7682" width="5" style="21" customWidth="1"/>
    <col min="7683" max="7683" width="4.83203125" style="21" customWidth="1"/>
    <col min="7684" max="7684" width="5.6640625" style="21" customWidth="1"/>
    <col min="7685" max="7685" width="5" style="21" customWidth="1"/>
    <col min="7686" max="7686" width="6.83203125" style="21" customWidth="1"/>
    <col min="7687" max="7687" width="5.6640625" style="21" customWidth="1"/>
    <col min="7688" max="7690" width="5.83203125" style="21" customWidth="1"/>
    <col min="7691" max="7691" width="7.1640625" style="21" customWidth="1"/>
    <col min="7692" max="7692" width="9.6640625" style="21" customWidth="1"/>
    <col min="7693" max="7693" width="6.83203125" style="21" customWidth="1"/>
    <col min="7694" max="7694" width="5.83203125" style="21" customWidth="1"/>
    <col min="7695" max="7695" width="7.1640625" style="21" customWidth="1"/>
    <col min="7696" max="7700" width="5.83203125" style="21" customWidth="1"/>
    <col min="7701" max="7701" width="2.6640625" style="21" customWidth="1"/>
    <col min="7702" max="7727" width="8.83203125" style="21" customWidth="1"/>
    <col min="7728" max="7936" width="8.83203125" style="21"/>
    <col min="7937" max="7937" width="1.83203125" style="21" customWidth="1"/>
    <col min="7938" max="7938" width="5" style="21" customWidth="1"/>
    <col min="7939" max="7939" width="4.83203125" style="21" customWidth="1"/>
    <col min="7940" max="7940" width="5.6640625" style="21" customWidth="1"/>
    <col min="7941" max="7941" width="5" style="21" customWidth="1"/>
    <col min="7942" max="7942" width="6.83203125" style="21" customWidth="1"/>
    <col min="7943" max="7943" width="5.6640625" style="21" customWidth="1"/>
    <col min="7944" max="7946" width="5.83203125" style="21" customWidth="1"/>
    <col min="7947" max="7947" width="7.1640625" style="21" customWidth="1"/>
    <col min="7948" max="7948" width="9.6640625" style="21" customWidth="1"/>
    <col min="7949" max="7949" width="6.83203125" style="21" customWidth="1"/>
    <col min="7950" max="7950" width="5.83203125" style="21" customWidth="1"/>
    <col min="7951" max="7951" width="7.1640625" style="21" customWidth="1"/>
    <col min="7952" max="7956" width="5.83203125" style="21" customWidth="1"/>
    <col min="7957" max="7957" width="2.6640625" style="21" customWidth="1"/>
    <col min="7958" max="7983" width="8.83203125" style="21" customWidth="1"/>
    <col min="7984" max="8192" width="8.83203125" style="21"/>
    <col min="8193" max="8193" width="1.83203125" style="21" customWidth="1"/>
    <col min="8194" max="8194" width="5" style="21" customWidth="1"/>
    <col min="8195" max="8195" width="4.83203125" style="21" customWidth="1"/>
    <col min="8196" max="8196" width="5.6640625" style="21" customWidth="1"/>
    <col min="8197" max="8197" width="5" style="21" customWidth="1"/>
    <col min="8198" max="8198" width="6.83203125" style="21" customWidth="1"/>
    <col min="8199" max="8199" width="5.6640625" style="21" customWidth="1"/>
    <col min="8200" max="8202" width="5.83203125" style="21" customWidth="1"/>
    <col min="8203" max="8203" width="7.1640625" style="21" customWidth="1"/>
    <col min="8204" max="8204" width="9.6640625" style="21" customWidth="1"/>
    <col min="8205" max="8205" width="6.83203125" style="21" customWidth="1"/>
    <col min="8206" max="8206" width="5.83203125" style="21" customWidth="1"/>
    <col min="8207" max="8207" width="7.1640625" style="21" customWidth="1"/>
    <col min="8208" max="8212" width="5.83203125" style="21" customWidth="1"/>
    <col min="8213" max="8213" width="2.6640625" style="21" customWidth="1"/>
    <col min="8214" max="8239" width="8.83203125" style="21" customWidth="1"/>
    <col min="8240" max="8448" width="8.83203125" style="21"/>
    <col min="8449" max="8449" width="1.83203125" style="21" customWidth="1"/>
    <col min="8450" max="8450" width="5" style="21" customWidth="1"/>
    <col min="8451" max="8451" width="4.83203125" style="21" customWidth="1"/>
    <col min="8452" max="8452" width="5.6640625" style="21" customWidth="1"/>
    <col min="8453" max="8453" width="5" style="21" customWidth="1"/>
    <col min="8454" max="8454" width="6.83203125" style="21" customWidth="1"/>
    <col min="8455" max="8455" width="5.6640625" style="21" customWidth="1"/>
    <col min="8456" max="8458" width="5.83203125" style="21" customWidth="1"/>
    <col min="8459" max="8459" width="7.1640625" style="21" customWidth="1"/>
    <col min="8460" max="8460" width="9.6640625" style="21" customWidth="1"/>
    <col min="8461" max="8461" width="6.83203125" style="21" customWidth="1"/>
    <col min="8462" max="8462" width="5.83203125" style="21" customWidth="1"/>
    <col min="8463" max="8463" width="7.1640625" style="21" customWidth="1"/>
    <col min="8464" max="8468" width="5.83203125" style="21" customWidth="1"/>
    <col min="8469" max="8469" width="2.6640625" style="21" customWidth="1"/>
    <col min="8470" max="8495" width="8.83203125" style="21" customWidth="1"/>
    <col min="8496" max="8704" width="8.83203125" style="21"/>
    <col min="8705" max="8705" width="1.83203125" style="21" customWidth="1"/>
    <col min="8706" max="8706" width="5" style="21" customWidth="1"/>
    <col min="8707" max="8707" width="4.83203125" style="21" customWidth="1"/>
    <col min="8708" max="8708" width="5.6640625" style="21" customWidth="1"/>
    <col min="8709" max="8709" width="5" style="21" customWidth="1"/>
    <col min="8710" max="8710" width="6.83203125" style="21" customWidth="1"/>
    <col min="8711" max="8711" width="5.6640625" style="21" customWidth="1"/>
    <col min="8712" max="8714" width="5.83203125" style="21" customWidth="1"/>
    <col min="8715" max="8715" width="7.1640625" style="21" customWidth="1"/>
    <col min="8716" max="8716" width="9.6640625" style="21" customWidth="1"/>
    <col min="8717" max="8717" width="6.83203125" style="21" customWidth="1"/>
    <col min="8718" max="8718" width="5.83203125" style="21" customWidth="1"/>
    <col min="8719" max="8719" width="7.1640625" style="21" customWidth="1"/>
    <col min="8720" max="8724" width="5.83203125" style="21" customWidth="1"/>
    <col min="8725" max="8725" width="2.6640625" style="21" customWidth="1"/>
    <col min="8726" max="8751" width="8.83203125" style="21" customWidth="1"/>
    <col min="8752" max="8960" width="8.83203125" style="21"/>
    <col min="8961" max="8961" width="1.83203125" style="21" customWidth="1"/>
    <col min="8962" max="8962" width="5" style="21" customWidth="1"/>
    <col min="8963" max="8963" width="4.83203125" style="21" customWidth="1"/>
    <col min="8964" max="8964" width="5.6640625" style="21" customWidth="1"/>
    <col min="8965" max="8965" width="5" style="21" customWidth="1"/>
    <col min="8966" max="8966" width="6.83203125" style="21" customWidth="1"/>
    <col min="8967" max="8967" width="5.6640625" style="21" customWidth="1"/>
    <col min="8968" max="8970" width="5.83203125" style="21" customWidth="1"/>
    <col min="8971" max="8971" width="7.1640625" style="21" customWidth="1"/>
    <col min="8972" max="8972" width="9.6640625" style="21" customWidth="1"/>
    <col min="8973" max="8973" width="6.83203125" style="21" customWidth="1"/>
    <col min="8974" max="8974" width="5.83203125" style="21" customWidth="1"/>
    <col min="8975" max="8975" width="7.1640625" style="21" customWidth="1"/>
    <col min="8976" max="8980" width="5.83203125" style="21" customWidth="1"/>
    <col min="8981" max="8981" width="2.6640625" style="21" customWidth="1"/>
    <col min="8982" max="9007" width="8.83203125" style="21" customWidth="1"/>
    <col min="9008" max="9216" width="8.83203125" style="21"/>
    <col min="9217" max="9217" width="1.83203125" style="21" customWidth="1"/>
    <col min="9218" max="9218" width="5" style="21" customWidth="1"/>
    <col min="9219" max="9219" width="4.83203125" style="21" customWidth="1"/>
    <col min="9220" max="9220" width="5.6640625" style="21" customWidth="1"/>
    <col min="9221" max="9221" width="5" style="21" customWidth="1"/>
    <col min="9222" max="9222" width="6.83203125" style="21" customWidth="1"/>
    <col min="9223" max="9223" width="5.6640625" style="21" customWidth="1"/>
    <col min="9224" max="9226" width="5.83203125" style="21" customWidth="1"/>
    <col min="9227" max="9227" width="7.1640625" style="21" customWidth="1"/>
    <col min="9228" max="9228" width="9.6640625" style="21" customWidth="1"/>
    <col min="9229" max="9229" width="6.83203125" style="21" customWidth="1"/>
    <col min="9230" max="9230" width="5.83203125" style="21" customWidth="1"/>
    <col min="9231" max="9231" width="7.1640625" style="21" customWidth="1"/>
    <col min="9232" max="9236" width="5.83203125" style="21" customWidth="1"/>
    <col min="9237" max="9237" width="2.6640625" style="21" customWidth="1"/>
    <col min="9238" max="9263" width="8.83203125" style="21" customWidth="1"/>
    <col min="9264" max="9472" width="8.83203125" style="21"/>
    <col min="9473" max="9473" width="1.83203125" style="21" customWidth="1"/>
    <col min="9474" max="9474" width="5" style="21" customWidth="1"/>
    <col min="9475" max="9475" width="4.83203125" style="21" customWidth="1"/>
    <col min="9476" max="9476" width="5.6640625" style="21" customWidth="1"/>
    <col min="9477" max="9477" width="5" style="21" customWidth="1"/>
    <col min="9478" max="9478" width="6.83203125" style="21" customWidth="1"/>
    <col min="9479" max="9479" width="5.6640625" style="21" customWidth="1"/>
    <col min="9480" max="9482" width="5.83203125" style="21" customWidth="1"/>
    <col min="9483" max="9483" width="7.1640625" style="21" customWidth="1"/>
    <col min="9484" max="9484" width="9.6640625" style="21" customWidth="1"/>
    <col min="9485" max="9485" width="6.83203125" style="21" customWidth="1"/>
    <col min="9486" max="9486" width="5.83203125" style="21" customWidth="1"/>
    <col min="9487" max="9487" width="7.1640625" style="21" customWidth="1"/>
    <col min="9488" max="9492" width="5.83203125" style="21" customWidth="1"/>
    <col min="9493" max="9493" width="2.6640625" style="21" customWidth="1"/>
    <col min="9494" max="9519" width="8.83203125" style="21" customWidth="1"/>
    <col min="9520" max="9728" width="8.83203125" style="21"/>
    <col min="9729" max="9729" width="1.83203125" style="21" customWidth="1"/>
    <col min="9730" max="9730" width="5" style="21" customWidth="1"/>
    <col min="9731" max="9731" width="4.83203125" style="21" customWidth="1"/>
    <col min="9732" max="9732" width="5.6640625" style="21" customWidth="1"/>
    <col min="9733" max="9733" width="5" style="21" customWidth="1"/>
    <col min="9734" max="9734" width="6.83203125" style="21" customWidth="1"/>
    <col min="9735" max="9735" width="5.6640625" style="21" customWidth="1"/>
    <col min="9736" max="9738" width="5.83203125" style="21" customWidth="1"/>
    <col min="9739" max="9739" width="7.1640625" style="21" customWidth="1"/>
    <col min="9740" max="9740" width="9.6640625" style="21" customWidth="1"/>
    <col min="9741" max="9741" width="6.83203125" style="21" customWidth="1"/>
    <col min="9742" max="9742" width="5.83203125" style="21" customWidth="1"/>
    <col min="9743" max="9743" width="7.1640625" style="21" customWidth="1"/>
    <col min="9744" max="9748" width="5.83203125" style="21" customWidth="1"/>
    <col min="9749" max="9749" width="2.6640625" style="21" customWidth="1"/>
    <col min="9750" max="9775" width="8.83203125" style="21" customWidth="1"/>
    <col min="9776" max="9984" width="8.83203125" style="21"/>
    <col min="9985" max="9985" width="1.83203125" style="21" customWidth="1"/>
    <col min="9986" max="9986" width="5" style="21" customWidth="1"/>
    <col min="9987" max="9987" width="4.83203125" style="21" customWidth="1"/>
    <col min="9988" max="9988" width="5.6640625" style="21" customWidth="1"/>
    <col min="9989" max="9989" width="5" style="21" customWidth="1"/>
    <col min="9990" max="9990" width="6.83203125" style="21" customWidth="1"/>
    <col min="9991" max="9991" width="5.6640625" style="21" customWidth="1"/>
    <col min="9992" max="9994" width="5.83203125" style="21" customWidth="1"/>
    <col min="9995" max="9995" width="7.1640625" style="21" customWidth="1"/>
    <col min="9996" max="9996" width="9.6640625" style="21" customWidth="1"/>
    <col min="9997" max="9997" width="6.83203125" style="21" customWidth="1"/>
    <col min="9998" max="9998" width="5.83203125" style="21" customWidth="1"/>
    <col min="9999" max="9999" width="7.1640625" style="21" customWidth="1"/>
    <col min="10000" max="10004" width="5.83203125" style="21" customWidth="1"/>
    <col min="10005" max="10005" width="2.6640625" style="21" customWidth="1"/>
    <col min="10006" max="10031" width="8.83203125" style="21" customWidth="1"/>
    <col min="10032" max="10240" width="8.83203125" style="21"/>
    <col min="10241" max="10241" width="1.83203125" style="21" customWidth="1"/>
    <col min="10242" max="10242" width="5" style="21" customWidth="1"/>
    <col min="10243" max="10243" width="4.83203125" style="21" customWidth="1"/>
    <col min="10244" max="10244" width="5.6640625" style="21" customWidth="1"/>
    <col min="10245" max="10245" width="5" style="21" customWidth="1"/>
    <col min="10246" max="10246" width="6.83203125" style="21" customWidth="1"/>
    <col min="10247" max="10247" width="5.6640625" style="21" customWidth="1"/>
    <col min="10248" max="10250" width="5.83203125" style="21" customWidth="1"/>
    <col min="10251" max="10251" width="7.1640625" style="21" customWidth="1"/>
    <col min="10252" max="10252" width="9.6640625" style="21" customWidth="1"/>
    <col min="10253" max="10253" width="6.83203125" style="21" customWidth="1"/>
    <col min="10254" max="10254" width="5.83203125" style="21" customWidth="1"/>
    <col min="10255" max="10255" width="7.1640625" style="21" customWidth="1"/>
    <col min="10256" max="10260" width="5.83203125" style="21" customWidth="1"/>
    <col min="10261" max="10261" width="2.6640625" style="21" customWidth="1"/>
    <col min="10262" max="10287" width="8.83203125" style="21" customWidth="1"/>
    <col min="10288" max="10496" width="8.83203125" style="21"/>
    <col min="10497" max="10497" width="1.83203125" style="21" customWidth="1"/>
    <col min="10498" max="10498" width="5" style="21" customWidth="1"/>
    <col min="10499" max="10499" width="4.83203125" style="21" customWidth="1"/>
    <col min="10500" max="10500" width="5.6640625" style="21" customWidth="1"/>
    <col min="10501" max="10501" width="5" style="21" customWidth="1"/>
    <col min="10502" max="10502" width="6.83203125" style="21" customWidth="1"/>
    <col min="10503" max="10503" width="5.6640625" style="21" customWidth="1"/>
    <col min="10504" max="10506" width="5.83203125" style="21" customWidth="1"/>
    <col min="10507" max="10507" width="7.1640625" style="21" customWidth="1"/>
    <col min="10508" max="10508" width="9.6640625" style="21" customWidth="1"/>
    <col min="10509" max="10509" width="6.83203125" style="21" customWidth="1"/>
    <col min="10510" max="10510" width="5.83203125" style="21" customWidth="1"/>
    <col min="10511" max="10511" width="7.1640625" style="21" customWidth="1"/>
    <col min="10512" max="10516" width="5.83203125" style="21" customWidth="1"/>
    <col min="10517" max="10517" width="2.6640625" style="21" customWidth="1"/>
    <col min="10518" max="10543" width="8.83203125" style="21" customWidth="1"/>
    <col min="10544" max="10752" width="8.83203125" style="21"/>
    <col min="10753" max="10753" width="1.83203125" style="21" customWidth="1"/>
    <col min="10754" max="10754" width="5" style="21" customWidth="1"/>
    <col min="10755" max="10755" width="4.83203125" style="21" customWidth="1"/>
    <col min="10756" max="10756" width="5.6640625" style="21" customWidth="1"/>
    <col min="10757" max="10757" width="5" style="21" customWidth="1"/>
    <col min="10758" max="10758" width="6.83203125" style="21" customWidth="1"/>
    <col min="10759" max="10759" width="5.6640625" style="21" customWidth="1"/>
    <col min="10760" max="10762" width="5.83203125" style="21" customWidth="1"/>
    <col min="10763" max="10763" width="7.1640625" style="21" customWidth="1"/>
    <col min="10764" max="10764" width="9.6640625" style="21" customWidth="1"/>
    <col min="10765" max="10765" width="6.83203125" style="21" customWidth="1"/>
    <col min="10766" max="10766" width="5.83203125" style="21" customWidth="1"/>
    <col min="10767" max="10767" width="7.1640625" style="21" customWidth="1"/>
    <col min="10768" max="10772" width="5.83203125" style="21" customWidth="1"/>
    <col min="10773" max="10773" width="2.6640625" style="21" customWidth="1"/>
    <col min="10774" max="10799" width="8.83203125" style="21" customWidth="1"/>
    <col min="10800" max="11008" width="8.83203125" style="21"/>
    <col min="11009" max="11009" width="1.83203125" style="21" customWidth="1"/>
    <col min="11010" max="11010" width="5" style="21" customWidth="1"/>
    <col min="11011" max="11011" width="4.83203125" style="21" customWidth="1"/>
    <col min="11012" max="11012" width="5.6640625" style="21" customWidth="1"/>
    <col min="11013" max="11013" width="5" style="21" customWidth="1"/>
    <col min="11014" max="11014" width="6.83203125" style="21" customWidth="1"/>
    <col min="11015" max="11015" width="5.6640625" style="21" customWidth="1"/>
    <col min="11016" max="11018" width="5.83203125" style="21" customWidth="1"/>
    <col min="11019" max="11019" width="7.1640625" style="21" customWidth="1"/>
    <col min="11020" max="11020" width="9.6640625" style="21" customWidth="1"/>
    <col min="11021" max="11021" width="6.83203125" style="21" customWidth="1"/>
    <col min="11022" max="11022" width="5.83203125" style="21" customWidth="1"/>
    <col min="11023" max="11023" width="7.1640625" style="21" customWidth="1"/>
    <col min="11024" max="11028" width="5.83203125" style="21" customWidth="1"/>
    <col min="11029" max="11029" width="2.6640625" style="21" customWidth="1"/>
    <col min="11030" max="11055" width="8.83203125" style="21" customWidth="1"/>
    <col min="11056" max="11264" width="8.83203125" style="21"/>
    <col min="11265" max="11265" width="1.83203125" style="21" customWidth="1"/>
    <col min="11266" max="11266" width="5" style="21" customWidth="1"/>
    <col min="11267" max="11267" width="4.83203125" style="21" customWidth="1"/>
    <col min="11268" max="11268" width="5.6640625" style="21" customWidth="1"/>
    <col min="11269" max="11269" width="5" style="21" customWidth="1"/>
    <col min="11270" max="11270" width="6.83203125" style="21" customWidth="1"/>
    <col min="11271" max="11271" width="5.6640625" style="21" customWidth="1"/>
    <col min="11272" max="11274" width="5.83203125" style="21" customWidth="1"/>
    <col min="11275" max="11275" width="7.1640625" style="21" customWidth="1"/>
    <col min="11276" max="11276" width="9.6640625" style="21" customWidth="1"/>
    <col min="11277" max="11277" width="6.83203125" style="21" customWidth="1"/>
    <col min="11278" max="11278" width="5.83203125" style="21" customWidth="1"/>
    <col min="11279" max="11279" width="7.1640625" style="21" customWidth="1"/>
    <col min="11280" max="11284" width="5.83203125" style="21" customWidth="1"/>
    <col min="11285" max="11285" width="2.6640625" style="21" customWidth="1"/>
    <col min="11286" max="11311" width="8.83203125" style="21" customWidth="1"/>
    <col min="11312" max="11520" width="8.83203125" style="21"/>
    <col min="11521" max="11521" width="1.83203125" style="21" customWidth="1"/>
    <col min="11522" max="11522" width="5" style="21" customWidth="1"/>
    <col min="11523" max="11523" width="4.83203125" style="21" customWidth="1"/>
    <col min="11524" max="11524" width="5.6640625" style="21" customWidth="1"/>
    <col min="11525" max="11525" width="5" style="21" customWidth="1"/>
    <col min="11526" max="11526" width="6.83203125" style="21" customWidth="1"/>
    <col min="11527" max="11527" width="5.6640625" style="21" customWidth="1"/>
    <col min="11528" max="11530" width="5.83203125" style="21" customWidth="1"/>
    <col min="11531" max="11531" width="7.1640625" style="21" customWidth="1"/>
    <col min="11532" max="11532" width="9.6640625" style="21" customWidth="1"/>
    <col min="11533" max="11533" width="6.83203125" style="21" customWidth="1"/>
    <col min="11534" max="11534" width="5.83203125" style="21" customWidth="1"/>
    <col min="11535" max="11535" width="7.1640625" style="21" customWidth="1"/>
    <col min="11536" max="11540" width="5.83203125" style="21" customWidth="1"/>
    <col min="11541" max="11541" width="2.6640625" style="21" customWidth="1"/>
    <col min="11542" max="11567" width="8.83203125" style="21" customWidth="1"/>
    <col min="11568" max="11776" width="8.83203125" style="21"/>
    <col min="11777" max="11777" width="1.83203125" style="21" customWidth="1"/>
    <col min="11778" max="11778" width="5" style="21" customWidth="1"/>
    <col min="11779" max="11779" width="4.83203125" style="21" customWidth="1"/>
    <col min="11780" max="11780" width="5.6640625" style="21" customWidth="1"/>
    <col min="11781" max="11781" width="5" style="21" customWidth="1"/>
    <col min="11782" max="11782" width="6.83203125" style="21" customWidth="1"/>
    <col min="11783" max="11783" width="5.6640625" style="21" customWidth="1"/>
    <col min="11784" max="11786" width="5.83203125" style="21" customWidth="1"/>
    <col min="11787" max="11787" width="7.1640625" style="21" customWidth="1"/>
    <col min="11788" max="11788" width="9.6640625" style="21" customWidth="1"/>
    <col min="11789" max="11789" width="6.83203125" style="21" customWidth="1"/>
    <col min="11790" max="11790" width="5.83203125" style="21" customWidth="1"/>
    <col min="11791" max="11791" width="7.1640625" style="21" customWidth="1"/>
    <col min="11792" max="11796" width="5.83203125" style="21" customWidth="1"/>
    <col min="11797" max="11797" width="2.6640625" style="21" customWidth="1"/>
    <col min="11798" max="11823" width="8.83203125" style="21" customWidth="1"/>
    <col min="11824" max="12032" width="8.83203125" style="21"/>
    <col min="12033" max="12033" width="1.83203125" style="21" customWidth="1"/>
    <col min="12034" max="12034" width="5" style="21" customWidth="1"/>
    <col min="12035" max="12035" width="4.83203125" style="21" customWidth="1"/>
    <col min="12036" max="12036" width="5.6640625" style="21" customWidth="1"/>
    <col min="12037" max="12037" width="5" style="21" customWidth="1"/>
    <col min="12038" max="12038" width="6.83203125" style="21" customWidth="1"/>
    <col min="12039" max="12039" width="5.6640625" style="21" customWidth="1"/>
    <col min="12040" max="12042" width="5.83203125" style="21" customWidth="1"/>
    <col min="12043" max="12043" width="7.1640625" style="21" customWidth="1"/>
    <col min="12044" max="12044" width="9.6640625" style="21" customWidth="1"/>
    <col min="12045" max="12045" width="6.83203125" style="21" customWidth="1"/>
    <col min="12046" max="12046" width="5.83203125" style="21" customWidth="1"/>
    <col min="12047" max="12047" width="7.1640625" style="21" customWidth="1"/>
    <col min="12048" max="12052" width="5.83203125" style="21" customWidth="1"/>
    <col min="12053" max="12053" width="2.6640625" style="21" customWidth="1"/>
    <col min="12054" max="12079" width="8.83203125" style="21" customWidth="1"/>
    <col min="12080" max="12288" width="8.83203125" style="21"/>
    <col min="12289" max="12289" width="1.83203125" style="21" customWidth="1"/>
    <col min="12290" max="12290" width="5" style="21" customWidth="1"/>
    <col min="12291" max="12291" width="4.83203125" style="21" customWidth="1"/>
    <col min="12292" max="12292" width="5.6640625" style="21" customWidth="1"/>
    <col min="12293" max="12293" width="5" style="21" customWidth="1"/>
    <col min="12294" max="12294" width="6.83203125" style="21" customWidth="1"/>
    <col min="12295" max="12295" width="5.6640625" style="21" customWidth="1"/>
    <col min="12296" max="12298" width="5.83203125" style="21" customWidth="1"/>
    <col min="12299" max="12299" width="7.1640625" style="21" customWidth="1"/>
    <col min="12300" max="12300" width="9.6640625" style="21" customWidth="1"/>
    <col min="12301" max="12301" width="6.83203125" style="21" customWidth="1"/>
    <col min="12302" max="12302" width="5.83203125" style="21" customWidth="1"/>
    <col min="12303" max="12303" width="7.1640625" style="21" customWidth="1"/>
    <col min="12304" max="12308" width="5.83203125" style="21" customWidth="1"/>
    <col min="12309" max="12309" width="2.6640625" style="21" customWidth="1"/>
    <col min="12310" max="12335" width="8.83203125" style="21" customWidth="1"/>
    <col min="12336" max="12544" width="8.83203125" style="21"/>
    <col min="12545" max="12545" width="1.83203125" style="21" customWidth="1"/>
    <col min="12546" max="12546" width="5" style="21" customWidth="1"/>
    <col min="12547" max="12547" width="4.83203125" style="21" customWidth="1"/>
    <col min="12548" max="12548" width="5.6640625" style="21" customWidth="1"/>
    <col min="12549" max="12549" width="5" style="21" customWidth="1"/>
    <col min="12550" max="12550" width="6.83203125" style="21" customWidth="1"/>
    <col min="12551" max="12551" width="5.6640625" style="21" customWidth="1"/>
    <col min="12552" max="12554" width="5.83203125" style="21" customWidth="1"/>
    <col min="12555" max="12555" width="7.1640625" style="21" customWidth="1"/>
    <col min="12556" max="12556" width="9.6640625" style="21" customWidth="1"/>
    <col min="12557" max="12557" width="6.83203125" style="21" customWidth="1"/>
    <col min="12558" max="12558" width="5.83203125" style="21" customWidth="1"/>
    <col min="12559" max="12559" width="7.1640625" style="21" customWidth="1"/>
    <col min="12560" max="12564" width="5.83203125" style="21" customWidth="1"/>
    <col min="12565" max="12565" width="2.6640625" style="21" customWidth="1"/>
    <col min="12566" max="12591" width="8.83203125" style="21" customWidth="1"/>
    <col min="12592" max="12800" width="8.83203125" style="21"/>
    <col min="12801" max="12801" width="1.83203125" style="21" customWidth="1"/>
    <col min="12802" max="12802" width="5" style="21" customWidth="1"/>
    <col min="12803" max="12803" width="4.83203125" style="21" customWidth="1"/>
    <col min="12804" max="12804" width="5.6640625" style="21" customWidth="1"/>
    <col min="12805" max="12805" width="5" style="21" customWidth="1"/>
    <col min="12806" max="12806" width="6.83203125" style="21" customWidth="1"/>
    <col min="12807" max="12807" width="5.6640625" style="21" customWidth="1"/>
    <col min="12808" max="12810" width="5.83203125" style="21" customWidth="1"/>
    <col min="12811" max="12811" width="7.1640625" style="21" customWidth="1"/>
    <col min="12812" max="12812" width="9.6640625" style="21" customWidth="1"/>
    <col min="12813" max="12813" width="6.83203125" style="21" customWidth="1"/>
    <col min="12814" max="12814" width="5.83203125" style="21" customWidth="1"/>
    <col min="12815" max="12815" width="7.1640625" style="21" customWidth="1"/>
    <col min="12816" max="12820" width="5.83203125" style="21" customWidth="1"/>
    <col min="12821" max="12821" width="2.6640625" style="21" customWidth="1"/>
    <col min="12822" max="12847" width="8.83203125" style="21" customWidth="1"/>
    <col min="12848" max="13056" width="8.83203125" style="21"/>
    <col min="13057" max="13057" width="1.83203125" style="21" customWidth="1"/>
    <col min="13058" max="13058" width="5" style="21" customWidth="1"/>
    <col min="13059" max="13059" width="4.83203125" style="21" customWidth="1"/>
    <col min="13060" max="13060" width="5.6640625" style="21" customWidth="1"/>
    <col min="13061" max="13061" width="5" style="21" customWidth="1"/>
    <col min="13062" max="13062" width="6.83203125" style="21" customWidth="1"/>
    <col min="13063" max="13063" width="5.6640625" style="21" customWidth="1"/>
    <col min="13064" max="13066" width="5.83203125" style="21" customWidth="1"/>
    <col min="13067" max="13067" width="7.1640625" style="21" customWidth="1"/>
    <col min="13068" max="13068" width="9.6640625" style="21" customWidth="1"/>
    <col min="13069" max="13069" width="6.83203125" style="21" customWidth="1"/>
    <col min="13070" max="13070" width="5.83203125" style="21" customWidth="1"/>
    <col min="13071" max="13071" width="7.1640625" style="21" customWidth="1"/>
    <col min="13072" max="13076" width="5.83203125" style="21" customWidth="1"/>
    <col min="13077" max="13077" width="2.6640625" style="21" customWidth="1"/>
    <col min="13078" max="13103" width="8.83203125" style="21" customWidth="1"/>
    <col min="13104" max="13312" width="8.83203125" style="21"/>
    <col min="13313" max="13313" width="1.83203125" style="21" customWidth="1"/>
    <col min="13314" max="13314" width="5" style="21" customWidth="1"/>
    <col min="13315" max="13315" width="4.83203125" style="21" customWidth="1"/>
    <col min="13316" max="13316" width="5.6640625" style="21" customWidth="1"/>
    <col min="13317" max="13317" width="5" style="21" customWidth="1"/>
    <col min="13318" max="13318" width="6.83203125" style="21" customWidth="1"/>
    <col min="13319" max="13319" width="5.6640625" style="21" customWidth="1"/>
    <col min="13320" max="13322" width="5.83203125" style="21" customWidth="1"/>
    <col min="13323" max="13323" width="7.1640625" style="21" customWidth="1"/>
    <col min="13324" max="13324" width="9.6640625" style="21" customWidth="1"/>
    <col min="13325" max="13325" width="6.83203125" style="21" customWidth="1"/>
    <col min="13326" max="13326" width="5.83203125" style="21" customWidth="1"/>
    <col min="13327" max="13327" width="7.1640625" style="21" customWidth="1"/>
    <col min="13328" max="13332" width="5.83203125" style="21" customWidth="1"/>
    <col min="13333" max="13333" width="2.6640625" style="21" customWidth="1"/>
    <col min="13334" max="13359" width="8.83203125" style="21" customWidth="1"/>
    <col min="13360" max="13568" width="8.83203125" style="21"/>
    <col min="13569" max="13569" width="1.83203125" style="21" customWidth="1"/>
    <col min="13570" max="13570" width="5" style="21" customWidth="1"/>
    <col min="13571" max="13571" width="4.83203125" style="21" customWidth="1"/>
    <col min="13572" max="13572" width="5.6640625" style="21" customWidth="1"/>
    <col min="13573" max="13573" width="5" style="21" customWidth="1"/>
    <col min="13574" max="13574" width="6.83203125" style="21" customWidth="1"/>
    <col min="13575" max="13575" width="5.6640625" style="21" customWidth="1"/>
    <col min="13576" max="13578" width="5.83203125" style="21" customWidth="1"/>
    <col min="13579" max="13579" width="7.1640625" style="21" customWidth="1"/>
    <col min="13580" max="13580" width="9.6640625" style="21" customWidth="1"/>
    <col min="13581" max="13581" width="6.83203125" style="21" customWidth="1"/>
    <col min="13582" max="13582" width="5.83203125" style="21" customWidth="1"/>
    <col min="13583" max="13583" width="7.1640625" style="21" customWidth="1"/>
    <col min="13584" max="13588" width="5.83203125" style="21" customWidth="1"/>
    <col min="13589" max="13589" width="2.6640625" style="21" customWidth="1"/>
    <col min="13590" max="13615" width="8.83203125" style="21" customWidth="1"/>
    <col min="13616" max="13824" width="8.83203125" style="21"/>
    <col min="13825" max="13825" width="1.83203125" style="21" customWidth="1"/>
    <col min="13826" max="13826" width="5" style="21" customWidth="1"/>
    <col min="13827" max="13827" width="4.83203125" style="21" customWidth="1"/>
    <col min="13828" max="13828" width="5.6640625" style="21" customWidth="1"/>
    <col min="13829" max="13829" width="5" style="21" customWidth="1"/>
    <col min="13830" max="13830" width="6.83203125" style="21" customWidth="1"/>
    <col min="13831" max="13831" width="5.6640625" style="21" customWidth="1"/>
    <col min="13832" max="13834" width="5.83203125" style="21" customWidth="1"/>
    <col min="13835" max="13835" width="7.1640625" style="21" customWidth="1"/>
    <col min="13836" max="13836" width="9.6640625" style="21" customWidth="1"/>
    <col min="13837" max="13837" width="6.83203125" style="21" customWidth="1"/>
    <col min="13838" max="13838" width="5.83203125" style="21" customWidth="1"/>
    <col min="13839" max="13839" width="7.1640625" style="21" customWidth="1"/>
    <col min="13840" max="13844" width="5.83203125" style="21" customWidth="1"/>
    <col min="13845" max="13845" width="2.6640625" style="21" customWidth="1"/>
    <col min="13846" max="13871" width="8.83203125" style="21" customWidth="1"/>
    <col min="13872" max="14080" width="8.83203125" style="21"/>
    <col min="14081" max="14081" width="1.83203125" style="21" customWidth="1"/>
    <col min="14082" max="14082" width="5" style="21" customWidth="1"/>
    <col min="14083" max="14083" width="4.83203125" style="21" customWidth="1"/>
    <col min="14084" max="14084" width="5.6640625" style="21" customWidth="1"/>
    <col min="14085" max="14085" width="5" style="21" customWidth="1"/>
    <col min="14086" max="14086" width="6.83203125" style="21" customWidth="1"/>
    <col min="14087" max="14087" width="5.6640625" style="21" customWidth="1"/>
    <col min="14088" max="14090" width="5.83203125" style="21" customWidth="1"/>
    <col min="14091" max="14091" width="7.1640625" style="21" customWidth="1"/>
    <col min="14092" max="14092" width="9.6640625" style="21" customWidth="1"/>
    <col min="14093" max="14093" width="6.83203125" style="21" customWidth="1"/>
    <col min="14094" max="14094" width="5.83203125" style="21" customWidth="1"/>
    <col min="14095" max="14095" width="7.1640625" style="21" customWidth="1"/>
    <col min="14096" max="14100" width="5.83203125" style="21" customWidth="1"/>
    <col min="14101" max="14101" width="2.6640625" style="21" customWidth="1"/>
    <col min="14102" max="14127" width="8.83203125" style="21" customWidth="1"/>
    <col min="14128" max="14336" width="8.83203125" style="21"/>
    <col min="14337" max="14337" width="1.83203125" style="21" customWidth="1"/>
    <col min="14338" max="14338" width="5" style="21" customWidth="1"/>
    <col min="14339" max="14339" width="4.83203125" style="21" customWidth="1"/>
    <col min="14340" max="14340" width="5.6640625" style="21" customWidth="1"/>
    <col min="14341" max="14341" width="5" style="21" customWidth="1"/>
    <col min="14342" max="14342" width="6.83203125" style="21" customWidth="1"/>
    <col min="14343" max="14343" width="5.6640625" style="21" customWidth="1"/>
    <col min="14344" max="14346" width="5.83203125" style="21" customWidth="1"/>
    <col min="14347" max="14347" width="7.1640625" style="21" customWidth="1"/>
    <col min="14348" max="14348" width="9.6640625" style="21" customWidth="1"/>
    <col min="14349" max="14349" width="6.83203125" style="21" customWidth="1"/>
    <col min="14350" max="14350" width="5.83203125" style="21" customWidth="1"/>
    <col min="14351" max="14351" width="7.1640625" style="21" customWidth="1"/>
    <col min="14352" max="14356" width="5.83203125" style="21" customWidth="1"/>
    <col min="14357" max="14357" width="2.6640625" style="21" customWidth="1"/>
    <col min="14358" max="14383" width="8.83203125" style="21" customWidth="1"/>
    <col min="14384" max="14592" width="8.83203125" style="21"/>
    <col min="14593" max="14593" width="1.83203125" style="21" customWidth="1"/>
    <col min="14594" max="14594" width="5" style="21" customWidth="1"/>
    <col min="14595" max="14595" width="4.83203125" style="21" customWidth="1"/>
    <col min="14596" max="14596" width="5.6640625" style="21" customWidth="1"/>
    <col min="14597" max="14597" width="5" style="21" customWidth="1"/>
    <col min="14598" max="14598" width="6.83203125" style="21" customWidth="1"/>
    <col min="14599" max="14599" width="5.6640625" style="21" customWidth="1"/>
    <col min="14600" max="14602" width="5.83203125" style="21" customWidth="1"/>
    <col min="14603" max="14603" width="7.1640625" style="21" customWidth="1"/>
    <col min="14604" max="14604" width="9.6640625" style="21" customWidth="1"/>
    <col min="14605" max="14605" width="6.83203125" style="21" customWidth="1"/>
    <col min="14606" max="14606" width="5.83203125" style="21" customWidth="1"/>
    <col min="14607" max="14607" width="7.1640625" style="21" customWidth="1"/>
    <col min="14608" max="14612" width="5.83203125" style="21" customWidth="1"/>
    <col min="14613" max="14613" width="2.6640625" style="21" customWidth="1"/>
    <col min="14614" max="14639" width="8.83203125" style="21" customWidth="1"/>
    <col min="14640" max="14848" width="8.83203125" style="21"/>
    <col min="14849" max="14849" width="1.83203125" style="21" customWidth="1"/>
    <col min="14850" max="14850" width="5" style="21" customWidth="1"/>
    <col min="14851" max="14851" width="4.83203125" style="21" customWidth="1"/>
    <col min="14852" max="14852" width="5.6640625" style="21" customWidth="1"/>
    <col min="14853" max="14853" width="5" style="21" customWidth="1"/>
    <col min="14854" max="14854" width="6.83203125" style="21" customWidth="1"/>
    <col min="14855" max="14855" width="5.6640625" style="21" customWidth="1"/>
    <col min="14856" max="14858" width="5.83203125" style="21" customWidth="1"/>
    <col min="14859" max="14859" width="7.1640625" style="21" customWidth="1"/>
    <col min="14860" max="14860" width="9.6640625" style="21" customWidth="1"/>
    <col min="14861" max="14861" width="6.83203125" style="21" customWidth="1"/>
    <col min="14862" max="14862" width="5.83203125" style="21" customWidth="1"/>
    <col min="14863" max="14863" width="7.1640625" style="21" customWidth="1"/>
    <col min="14864" max="14868" width="5.83203125" style="21" customWidth="1"/>
    <col min="14869" max="14869" width="2.6640625" style="21" customWidth="1"/>
    <col min="14870" max="14895" width="8.83203125" style="21" customWidth="1"/>
    <col min="14896" max="15104" width="8.83203125" style="21"/>
    <col min="15105" max="15105" width="1.83203125" style="21" customWidth="1"/>
    <col min="15106" max="15106" width="5" style="21" customWidth="1"/>
    <col min="15107" max="15107" width="4.83203125" style="21" customWidth="1"/>
    <col min="15108" max="15108" width="5.6640625" style="21" customWidth="1"/>
    <col min="15109" max="15109" width="5" style="21" customWidth="1"/>
    <col min="15110" max="15110" width="6.83203125" style="21" customWidth="1"/>
    <col min="15111" max="15111" width="5.6640625" style="21" customWidth="1"/>
    <col min="15112" max="15114" width="5.83203125" style="21" customWidth="1"/>
    <col min="15115" max="15115" width="7.1640625" style="21" customWidth="1"/>
    <col min="15116" max="15116" width="9.6640625" style="21" customWidth="1"/>
    <col min="15117" max="15117" width="6.83203125" style="21" customWidth="1"/>
    <col min="15118" max="15118" width="5.83203125" style="21" customWidth="1"/>
    <col min="15119" max="15119" width="7.1640625" style="21" customWidth="1"/>
    <col min="15120" max="15124" width="5.83203125" style="21" customWidth="1"/>
    <col min="15125" max="15125" width="2.6640625" style="21" customWidth="1"/>
    <col min="15126" max="15151" width="8.83203125" style="21" customWidth="1"/>
    <col min="15152" max="15360" width="8.83203125" style="21"/>
    <col min="15361" max="15361" width="1.83203125" style="21" customWidth="1"/>
    <col min="15362" max="15362" width="5" style="21" customWidth="1"/>
    <col min="15363" max="15363" width="4.83203125" style="21" customWidth="1"/>
    <col min="15364" max="15364" width="5.6640625" style="21" customWidth="1"/>
    <col min="15365" max="15365" width="5" style="21" customWidth="1"/>
    <col min="15366" max="15366" width="6.83203125" style="21" customWidth="1"/>
    <col min="15367" max="15367" width="5.6640625" style="21" customWidth="1"/>
    <col min="15368" max="15370" width="5.83203125" style="21" customWidth="1"/>
    <col min="15371" max="15371" width="7.1640625" style="21" customWidth="1"/>
    <col min="15372" max="15372" width="9.6640625" style="21" customWidth="1"/>
    <col min="15373" max="15373" width="6.83203125" style="21" customWidth="1"/>
    <col min="15374" max="15374" width="5.83203125" style="21" customWidth="1"/>
    <col min="15375" max="15375" width="7.1640625" style="21" customWidth="1"/>
    <col min="15376" max="15380" width="5.83203125" style="21" customWidth="1"/>
    <col min="15381" max="15381" width="2.6640625" style="21" customWidth="1"/>
    <col min="15382" max="15407" width="8.83203125" style="21" customWidth="1"/>
    <col min="15408" max="15616" width="8.83203125" style="21"/>
    <col min="15617" max="15617" width="1.83203125" style="21" customWidth="1"/>
    <col min="15618" max="15618" width="5" style="21" customWidth="1"/>
    <col min="15619" max="15619" width="4.83203125" style="21" customWidth="1"/>
    <col min="15620" max="15620" width="5.6640625" style="21" customWidth="1"/>
    <col min="15621" max="15621" width="5" style="21" customWidth="1"/>
    <col min="15622" max="15622" width="6.83203125" style="21" customWidth="1"/>
    <col min="15623" max="15623" width="5.6640625" style="21" customWidth="1"/>
    <col min="15624" max="15626" width="5.83203125" style="21" customWidth="1"/>
    <col min="15627" max="15627" width="7.1640625" style="21" customWidth="1"/>
    <col min="15628" max="15628" width="9.6640625" style="21" customWidth="1"/>
    <col min="15629" max="15629" width="6.83203125" style="21" customWidth="1"/>
    <col min="15630" max="15630" width="5.83203125" style="21" customWidth="1"/>
    <col min="15631" max="15631" width="7.1640625" style="21" customWidth="1"/>
    <col min="15632" max="15636" width="5.83203125" style="21" customWidth="1"/>
    <col min="15637" max="15637" width="2.6640625" style="21" customWidth="1"/>
    <col min="15638" max="15663" width="8.83203125" style="21" customWidth="1"/>
    <col min="15664" max="15872" width="8.83203125" style="21"/>
    <col min="15873" max="15873" width="1.83203125" style="21" customWidth="1"/>
    <col min="15874" max="15874" width="5" style="21" customWidth="1"/>
    <col min="15875" max="15875" width="4.83203125" style="21" customWidth="1"/>
    <col min="15876" max="15876" width="5.6640625" style="21" customWidth="1"/>
    <col min="15877" max="15877" width="5" style="21" customWidth="1"/>
    <col min="15878" max="15878" width="6.83203125" style="21" customWidth="1"/>
    <col min="15879" max="15879" width="5.6640625" style="21" customWidth="1"/>
    <col min="15880" max="15882" width="5.83203125" style="21" customWidth="1"/>
    <col min="15883" max="15883" width="7.1640625" style="21" customWidth="1"/>
    <col min="15884" max="15884" width="9.6640625" style="21" customWidth="1"/>
    <col min="15885" max="15885" width="6.83203125" style="21" customWidth="1"/>
    <col min="15886" max="15886" width="5.83203125" style="21" customWidth="1"/>
    <col min="15887" max="15887" width="7.1640625" style="21" customWidth="1"/>
    <col min="15888" max="15892" width="5.83203125" style="21" customWidth="1"/>
    <col min="15893" max="15893" width="2.6640625" style="21" customWidth="1"/>
    <col min="15894" max="15919" width="8.83203125" style="21" customWidth="1"/>
    <col min="15920" max="16128" width="8.83203125" style="21"/>
    <col min="16129" max="16129" width="1.83203125" style="21" customWidth="1"/>
    <col min="16130" max="16130" width="5" style="21" customWidth="1"/>
    <col min="16131" max="16131" width="4.83203125" style="21" customWidth="1"/>
    <col min="16132" max="16132" width="5.6640625" style="21" customWidth="1"/>
    <col min="16133" max="16133" width="5" style="21" customWidth="1"/>
    <col min="16134" max="16134" width="6.83203125" style="21" customWidth="1"/>
    <col min="16135" max="16135" width="5.6640625" style="21" customWidth="1"/>
    <col min="16136" max="16138" width="5.83203125" style="21" customWidth="1"/>
    <col min="16139" max="16139" width="7.1640625" style="21" customWidth="1"/>
    <col min="16140" max="16140" width="9.6640625" style="21" customWidth="1"/>
    <col min="16141" max="16141" width="6.83203125" style="21" customWidth="1"/>
    <col min="16142" max="16142" width="5.83203125" style="21" customWidth="1"/>
    <col min="16143" max="16143" width="7.1640625" style="21" customWidth="1"/>
    <col min="16144" max="16148" width="5.83203125" style="21" customWidth="1"/>
    <col min="16149" max="16149" width="2.6640625" style="21" customWidth="1"/>
    <col min="16150" max="16175" width="8.83203125" style="21" customWidth="1"/>
    <col min="16176" max="16384" width="8.83203125" style="21"/>
  </cols>
  <sheetData>
    <row r="1" spans="1:47" ht="6" customHeight="1" thickBot="1"/>
    <row r="2" spans="1:47" s="26" customFormat="1" ht="3" customHeight="1" thickBot="1">
      <c r="A2" s="23"/>
      <c r="B2" s="322"/>
      <c r="C2" s="323"/>
      <c r="D2" s="323"/>
      <c r="E2" s="324"/>
      <c r="F2" s="324"/>
      <c r="G2" s="324"/>
      <c r="H2" s="324"/>
      <c r="I2" s="324"/>
      <c r="J2" s="325"/>
      <c r="K2" s="325"/>
      <c r="L2" s="326"/>
      <c r="M2" s="324"/>
      <c r="N2" s="324"/>
      <c r="O2" s="324"/>
      <c r="P2" s="324"/>
      <c r="Q2" s="324"/>
      <c r="R2" s="24"/>
      <c r="S2" s="24"/>
      <c r="T2" s="24"/>
      <c r="U2" s="25"/>
      <c r="V2" s="22"/>
      <c r="W2" s="22"/>
      <c r="AA2" s="22"/>
      <c r="AB2" s="22"/>
      <c r="AC2" s="22"/>
      <c r="AD2" s="22"/>
      <c r="AE2" s="22"/>
      <c r="AF2" s="22"/>
      <c r="AG2" s="22"/>
      <c r="AH2" s="22"/>
      <c r="AI2" s="22"/>
      <c r="AJ2" s="22"/>
      <c r="AK2" s="22"/>
      <c r="AL2" s="22"/>
      <c r="AM2" s="22"/>
      <c r="AN2" s="22"/>
      <c r="AO2" s="22"/>
      <c r="AP2" s="22"/>
      <c r="AQ2" s="22"/>
      <c r="AR2" s="22"/>
      <c r="AS2" s="22"/>
      <c r="AT2" s="22"/>
      <c r="AU2" s="22"/>
    </row>
    <row r="3" spans="1:47" s="26" customFormat="1" ht="14" thickBot="1">
      <c r="A3" s="23"/>
      <c r="B3" s="206"/>
      <c r="C3" s="199"/>
      <c r="D3" s="327" t="s">
        <v>15</v>
      </c>
      <c r="E3" s="327"/>
      <c r="F3" s="327"/>
      <c r="G3" s="328" t="s">
        <v>252</v>
      </c>
      <c r="H3" s="329"/>
      <c r="I3" s="329"/>
      <c r="J3" s="329"/>
      <c r="K3" s="330"/>
      <c r="L3" s="331" t="s">
        <v>16</v>
      </c>
      <c r="M3" s="331"/>
      <c r="N3" s="332"/>
      <c r="O3" s="328" t="s">
        <v>239</v>
      </c>
      <c r="P3" s="329"/>
      <c r="Q3" s="329"/>
      <c r="R3" s="329"/>
      <c r="S3" s="330"/>
      <c r="T3" s="27"/>
      <c r="U3" s="28"/>
      <c r="V3" s="22"/>
      <c r="W3" s="22"/>
      <c r="AD3" s="22"/>
      <c r="AE3" s="22"/>
      <c r="AF3" s="22"/>
      <c r="AG3" s="22"/>
      <c r="AH3" s="22"/>
      <c r="AI3" s="22"/>
      <c r="AJ3" s="22"/>
      <c r="AK3" s="22"/>
      <c r="AL3" s="22"/>
      <c r="AM3" s="22"/>
      <c r="AN3" s="22"/>
      <c r="AO3" s="22"/>
      <c r="AP3" s="22"/>
      <c r="AQ3" s="22"/>
      <c r="AR3" s="22"/>
      <c r="AS3" s="22"/>
      <c r="AT3" s="22"/>
      <c r="AU3" s="22"/>
    </row>
    <row r="4" spans="1:47" s="26" customFormat="1" ht="14" thickBot="1">
      <c r="A4" s="23"/>
      <c r="B4" s="206"/>
      <c r="C4" s="199"/>
      <c r="D4" s="333" t="s">
        <v>17</v>
      </c>
      <c r="E4" s="333"/>
      <c r="F4" s="333"/>
      <c r="G4" s="328">
        <v>2</v>
      </c>
      <c r="H4" s="329"/>
      <c r="I4" s="329"/>
      <c r="J4" s="329"/>
      <c r="K4" s="330"/>
      <c r="L4" s="331" t="s">
        <v>18</v>
      </c>
      <c r="M4" s="331"/>
      <c r="N4" s="332"/>
      <c r="O4" s="334">
        <v>43516</v>
      </c>
      <c r="P4" s="335"/>
      <c r="Q4" s="335"/>
      <c r="R4" s="335"/>
      <c r="S4" s="336"/>
      <c r="T4" s="27"/>
      <c r="U4" s="28"/>
      <c r="V4" s="22"/>
      <c r="W4" s="22"/>
      <c r="AD4" s="22"/>
      <c r="AE4" s="22"/>
      <c r="AF4" s="22"/>
      <c r="AG4" s="22"/>
      <c r="AH4" s="22"/>
      <c r="AI4" s="22"/>
      <c r="AJ4" s="22"/>
      <c r="AK4" s="22"/>
      <c r="AL4" s="22"/>
      <c r="AM4" s="22"/>
      <c r="AN4" s="22"/>
      <c r="AO4" s="22"/>
      <c r="AP4" s="22"/>
      <c r="AQ4" s="22"/>
      <c r="AR4" s="22"/>
      <c r="AS4" s="22"/>
      <c r="AT4" s="22"/>
      <c r="AU4" s="22"/>
    </row>
    <row r="5" spans="1:47" s="26" customFormat="1" ht="14" thickBot="1">
      <c r="A5" s="23"/>
      <c r="B5" s="206"/>
      <c r="C5" s="199"/>
      <c r="D5" s="327" t="s">
        <v>19</v>
      </c>
      <c r="E5" s="327"/>
      <c r="F5" s="327"/>
      <c r="G5" s="328" t="s">
        <v>235</v>
      </c>
      <c r="H5" s="329"/>
      <c r="I5" s="329"/>
      <c r="J5" s="329"/>
      <c r="K5" s="330"/>
      <c r="L5" s="337" t="s">
        <v>20</v>
      </c>
      <c r="M5" s="337"/>
      <c r="N5" s="337"/>
      <c r="O5" s="338" t="s">
        <v>243</v>
      </c>
      <c r="P5" s="339"/>
      <c r="Q5" s="339"/>
      <c r="R5" s="339"/>
      <c r="S5" s="340"/>
      <c r="T5" s="27"/>
      <c r="U5" s="28"/>
      <c r="V5" s="22"/>
      <c r="W5" s="22"/>
      <c r="AD5" s="22"/>
      <c r="AE5" s="22"/>
      <c r="AF5" s="22"/>
      <c r="AG5" s="22"/>
      <c r="AH5" s="22"/>
      <c r="AI5" s="22"/>
      <c r="AJ5" s="22"/>
      <c r="AK5" s="22"/>
      <c r="AL5" s="22"/>
      <c r="AM5" s="22"/>
      <c r="AN5" s="22"/>
      <c r="AO5" s="22"/>
      <c r="AP5" s="22"/>
      <c r="AQ5" s="22"/>
      <c r="AR5" s="22"/>
      <c r="AS5" s="22"/>
      <c r="AT5" s="22"/>
      <c r="AU5" s="22"/>
    </row>
    <row r="6" spans="1:47" s="26" customFormat="1" ht="14" thickBot="1">
      <c r="A6" s="23"/>
      <c r="B6" s="206"/>
      <c r="C6" s="199"/>
      <c r="D6" s="327" t="s">
        <v>172</v>
      </c>
      <c r="E6" s="327"/>
      <c r="F6" s="327"/>
      <c r="G6" s="341" t="s">
        <v>244</v>
      </c>
      <c r="H6" s="329"/>
      <c r="I6" s="329"/>
      <c r="J6" s="329"/>
      <c r="K6" s="330"/>
      <c r="L6" s="337"/>
      <c r="M6" s="337"/>
      <c r="N6" s="337"/>
      <c r="O6" s="342"/>
      <c r="P6" s="343"/>
      <c r="Q6" s="343"/>
      <c r="R6" s="343"/>
      <c r="S6" s="344"/>
      <c r="T6" s="27"/>
      <c r="U6" s="28"/>
      <c r="V6" s="22"/>
      <c r="W6" s="22"/>
      <c r="AD6" s="22"/>
      <c r="AE6" s="22"/>
      <c r="AF6" s="22"/>
      <c r="AG6" s="22"/>
      <c r="AH6" s="22"/>
      <c r="AI6" s="22"/>
      <c r="AJ6" s="22"/>
      <c r="AK6" s="22"/>
      <c r="AL6" s="22"/>
      <c r="AM6" s="22"/>
      <c r="AN6" s="22"/>
      <c r="AO6" s="22"/>
      <c r="AP6" s="22"/>
      <c r="AQ6" s="22"/>
      <c r="AR6" s="22"/>
      <c r="AS6" s="22"/>
      <c r="AT6" s="22"/>
      <c r="AU6" s="22"/>
    </row>
    <row r="7" spans="1:47" s="26" customFormat="1" ht="3" customHeight="1">
      <c r="A7" s="23"/>
      <c r="B7" s="206"/>
      <c r="C7" s="199"/>
      <c r="D7" s="31"/>
      <c r="E7" s="32"/>
      <c r="F7" s="30"/>
      <c r="G7" s="30"/>
      <c r="H7" s="30"/>
      <c r="I7" s="30"/>
      <c r="J7" s="30"/>
      <c r="K7" s="30"/>
      <c r="L7" s="30"/>
      <c r="M7" s="30"/>
      <c r="N7" s="30"/>
      <c r="O7" s="196"/>
      <c r="P7" s="30"/>
      <c r="Q7" s="196"/>
      <c r="R7" s="27"/>
      <c r="S7" s="27"/>
      <c r="T7" s="27"/>
      <c r="U7" s="28"/>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row>
    <row r="8" spans="1:47" s="26" customFormat="1" ht="13">
      <c r="A8" s="23"/>
      <c r="B8" s="206"/>
      <c r="C8" s="199"/>
      <c r="D8" s="320"/>
      <c r="E8" s="320"/>
      <c r="F8" s="320"/>
      <c r="G8" s="321"/>
      <c r="H8" s="321"/>
      <c r="I8" s="321"/>
      <c r="J8" s="321"/>
      <c r="K8" s="321"/>
      <c r="L8" s="321"/>
      <c r="M8" s="321"/>
      <c r="N8" s="321"/>
      <c r="O8" s="321"/>
      <c r="P8" s="321"/>
      <c r="Q8" s="321"/>
      <c r="R8" s="321"/>
      <c r="S8" s="321"/>
      <c r="T8" s="27"/>
      <c r="U8" s="28"/>
      <c r="V8" s="22"/>
      <c r="Y8" s="22"/>
      <c r="Z8" s="22"/>
      <c r="AA8" s="22"/>
      <c r="AB8" s="22"/>
      <c r="AC8" s="22"/>
      <c r="AD8" s="22"/>
      <c r="AE8" s="22"/>
      <c r="AF8" s="22"/>
      <c r="AG8" s="22"/>
      <c r="AH8" s="22"/>
      <c r="AI8" s="22"/>
      <c r="AJ8" s="22"/>
      <c r="AK8" s="22"/>
      <c r="AL8" s="22"/>
      <c r="AM8" s="22"/>
      <c r="AN8" s="22"/>
      <c r="AO8" s="22"/>
      <c r="AP8" s="22"/>
      <c r="AQ8" s="22"/>
      <c r="AR8" s="22"/>
      <c r="AS8" s="22"/>
      <c r="AT8" s="22"/>
      <c r="AU8" s="22"/>
    </row>
    <row r="9" spans="1:47" s="26" customFormat="1" ht="13">
      <c r="A9" s="23"/>
      <c r="B9" s="206"/>
      <c r="C9" s="199"/>
      <c r="D9" s="38" t="s">
        <v>70</v>
      </c>
      <c r="E9" s="37" t="s">
        <v>86</v>
      </c>
      <c r="F9" s="38"/>
      <c r="G9" s="38"/>
      <c r="H9" s="222"/>
      <c r="I9" s="38" t="s">
        <v>73</v>
      </c>
      <c r="J9" s="37" t="s">
        <v>100</v>
      </c>
      <c r="K9" s="35"/>
      <c r="L9" s="35"/>
      <c r="M9" s="196"/>
      <c r="N9" s="196"/>
      <c r="O9" s="196"/>
      <c r="P9" s="196"/>
      <c r="Q9" s="222" t="s">
        <v>23</v>
      </c>
      <c r="R9" s="36" t="s">
        <v>24</v>
      </c>
      <c r="S9" s="38"/>
      <c r="T9" s="198"/>
      <c r="U9" s="28"/>
      <c r="V9" s="22"/>
      <c r="Y9" s="22"/>
      <c r="AB9" s="22"/>
      <c r="AC9" s="22"/>
      <c r="AD9" s="22"/>
      <c r="AE9" s="22"/>
      <c r="AF9" s="22"/>
      <c r="AG9" s="22"/>
      <c r="AH9" s="22"/>
      <c r="AI9" s="22"/>
      <c r="AJ9" s="22"/>
      <c r="AK9" s="22"/>
      <c r="AL9" s="22"/>
      <c r="AM9" s="22"/>
      <c r="AN9" s="22"/>
      <c r="AO9" s="22"/>
      <c r="AP9" s="22"/>
      <c r="AQ9" s="22"/>
      <c r="AR9" s="22"/>
      <c r="AS9" s="22"/>
      <c r="AT9" s="22"/>
      <c r="AU9" s="22"/>
    </row>
    <row r="10" spans="1:47" s="26" customFormat="1" ht="13">
      <c r="A10" s="23"/>
      <c r="B10" s="206"/>
      <c r="C10" s="199"/>
      <c r="D10" s="38" t="s">
        <v>71</v>
      </c>
      <c r="E10" s="37" t="s">
        <v>91</v>
      </c>
      <c r="F10" s="38"/>
      <c r="G10" s="38"/>
      <c r="H10" s="222"/>
      <c r="I10" s="222" t="s">
        <v>31</v>
      </c>
      <c r="J10" s="37" t="s">
        <v>32</v>
      </c>
      <c r="K10" s="35"/>
      <c r="L10" s="35"/>
      <c r="M10" s="196"/>
      <c r="N10" s="222" t="s">
        <v>21</v>
      </c>
      <c r="O10" s="35" t="s">
        <v>22</v>
      </c>
      <c r="P10" s="196"/>
      <c r="Q10" s="222" t="s">
        <v>29</v>
      </c>
      <c r="R10" s="36" t="s">
        <v>30</v>
      </c>
      <c r="S10" s="40"/>
      <c r="T10" s="27"/>
      <c r="U10" s="28"/>
      <c r="V10" s="22"/>
      <c r="AO10" s="22"/>
      <c r="AP10" s="22"/>
      <c r="AQ10" s="22"/>
      <c r="AR10" s="22"/>
      <c r="AS10" s="22"/>
      <c r="AT10" s="22"/>
      <c r="AU10" s="22"/>
    </row>
    <row r="11" spans="1:47" s="26" customFormat="1" ht="13">
      <c r="A11" s="23"/>
      <c r="B11" s="206"/>
      <c r="C11" s="199"/>
      <c r="D11" s="38" t="s">
        <v>72</v>
      </c>
      <c r="E11" s="37" t="s">
        <v>96</v>
      </c>
      <c r="F11" s="38"/>
      <c r="G11" s="38"/>
      <c r="H11" s="222"/>
      <c r="I11" s="222" t="s">
        <v>37</v>
      </c>
      <c r="J11" s="37" t="s">
        <v>38</v>
      </c>
      <c r="K11" s="35"/>
      <c r="L11" s="35"/>
      <c r="M11" s="196"/>
      <c r="N11" s="222" t="s">
        <v>35</v>
      </c>
      <c r="O11" s="35" t="s">
        <v>36</v>
      </c>
      <c r="P11" s="196"/>
      <c r="Q11" s="222" t="s">
        <v>33</v>
      </c>
      <c r="R11" s="35" t="s">
        <v>34</v>
      </c>
      <c r="S11" s="40"/>
      <c r="T11" s="27"/>
      <c r="U11" s="28"/>
      <c r="V11" s="22"/>
      <c r="W11" s="22"/>
      <c r="X11" s="22"/>
      <c r="Y11" s="22"/>
      <c r="AB11" s="22"/>
      <c r="AC11" s="22"/>
      <c r="AD11" s="22"/>
      <c r="AE11" s="22"/>
      <c r="AF11" s="22"/>
      <c r="AG11" s="22"/>
      <c r="AH11" s="22"/>
      <c r="AI11" s="22"/>
      <c r="AJ11" s="22"/>
      <c r="AK11" s="22"/>
      <c r="AL11" s="22"/>
      <c r="AM11" s="22"/>
      <c r="AN11" s="22"/>
      <c r="AO11" s="22"/>
      <c r="AP11" s="22"/>
      <c r="AQ11" s="22"/>
      <c r="AR11" s="22"/>
      <c r="AS11" s="22"/>
      <c r="AT11" s="22"/>
      <c r="AU11" s="22"/>
    </row>
    <row r="12" spans="1:47" s="26" customFormat="1" ht="13">
      <c r="A12" s="23"/>
      <c r="B12" s="206"/>
      <c r="C12" s="199"/>
      <c r="D12" s="38" t="s">
        <v>171</v>
      </c>
      <c r="E12" s="37" t="s">
        <v>173</v>
      </c>
      <c r="F12" s="38"/>
      <c r="G12" s="38"/>
      <c r="H12" s="222"/>
      <c r="I12" s="222" t="s">
        <v>25</v>
      </c>
      <c r="J12" s="37" t="s">
        <v>26</v>
      </c>
      <c r="K12" s="35"/>
      <c r="L12" s="35"/>
      <c r="M12" s="36"/>
      <c r="N12" s="196"/>
      <c r="O12" s="196"/>
      <c r="P12" s="196"/>
      <c r="Q12" s="222" t="s">
        <v>27</v>
      </c>
      <c r="R12" s="35" t="s">
        <v>28</v>
      </c>
      <c r="S12" s="27"/>
      <c r="T12" s="27"/>
      <c r="U12" s="28"/>
      <c r="V12" s="22"/>
      <c r="W12" s="22"/>
      <c r="X12" s="22"/>
      <c r="Y12" s="22"/>
      <c r="Z12" s="22"/>
      <c r="AA12" s="22"/>
      <c r="AB12" s="22"/>
      <c r="AC12" s="22"/>
      <c r="AD12" s="22"/>
      <c r="AG12" s="22"/>
      <c r="AH12" s="22"/>
      <c r="AI12" s="22"/>
      <c r="AJ12" s="22"/>
      <c r="AK12" s="22"/>
      <c r="AL12" s="22"/>
      <c r="AM12" s="22"/>
      <c r="AN12" s="22"/>
      <c r="AO12" s="22"/>
      <c r="AP12" s="22"/>
      <c r="AQ12" s="22"/>
      <c r="AR12" s="22"/>
      <c r="AS12" s="22"/>
      <c r="AT12" s="22"/>
      <c r="AU12" s="22"/>
    </row>
    <row r="13" spans="1:47" s="26" customFormat="1" ht="3.75" customHeight="1" thickBot="1">
      <c r="A13" s="23"/>
      <c r="B13" s="203" t="s">
        <v>39</v>
      </c>
      <c r="C13" s="199"/>
      <c r="D13" s="30"/>
      <c r="E13" s="30"/>
      <c r="F13" s="30"/>
      <c r="G13" s="30"/>
      <c r="H13" s="30"/>
      <c r="I13" s="30"/>
      <c r="J13" s="30"/>
      <c r="K13" s="30"/>
      <c r="L13" s="30"/>
      <c r="M13" s="30"/>
      <c r="N13" s="30"/>
      <c r="O13" s="196"/>
      <c r="P13" s="30" t="s">
        <v>39</v>
      </c>
      <c r="Q13" s="196"/>
      <c r="R13" s="27"/>
      <c r="S13" s="27"/>
      <c r="T13" s="27"/>
      <c r="U13" s="28"/>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row>
    <row r="14" spans="1:47" ht="14" thickBot="1">
      <c r="B14" s="41"/>
      <c r="C14" s="199"/>
      <c r="D14" s="315" t="s">
        <v>40</v>
      </c>
      <c r="E14" s="316"/>
      <c r="F14" s="317"/>
      <c r="G14" s="318"/>
      <c r="H14" s="315" t="s">
        <v>41</v>
      </c>
      <c r="I14" s="317"/>
      <c r="J14" s="317"/>
      <c r="K14" s="319"/>
      <c r="L14" s="315" t="s">
        <v>42</v>
      </c>
      <c r="M14" s="317"/>
      <c r="N14" s="317"/>
      <c r="O14" s="319"/>
      <c r="P14" s="315" t="s">
        <v>43</v>
      </c>
      <c r="Q14" s="317"/>
      <c r="R14" s="317"/>
      <c r="S14" s="319"/>
      <c r="T14" s="27"/>
      <c r="U14" s="28"/>
    </row>
    <row r="15" spans="1:47" s="26" customFormat="1" ht="14" thickBot="1">
      <c r="A15" s="23"/>
      <c r="B15" s="206"/>
      <c r="C15" s="196"/>
      <c r="D15" s="42">
        <v>0</v>
      </c>
      <c r="E15" s="195" t="str">
        <f>IF('DADOS ESPÉCIES'!D20="", "", 'DADOS ESPÉCIES'!D20)</f>
        <v>CM</v>
      </c>
      <c r="F15" s="187">
        <v>10</v>
      </c>
      <c r="G15" s="195" t="str">
        <f>IF('DADOS ESPÉCIES'!D40="", "", 'DADOS ESPÉCIES'!D40)</f>
        <v>RC</v>
      </c>
      <c r="H15" s="42">
        <v>0</v>
      </c>
      <c r="I15" s="195" t="str">
        <f>IF('DADOS ESPÉCIES'!I20="", "", 'DADOS ESPÉCIES'!I20)</f>
        <v>CM</v>
      </c>
      <c r="J15" s="187">
        <v>10</v>
      </c>
      <c r="K15" s="195" t="str">
        <f>IF('DADOS ESPÉCIES'!I40="", "", 'DADOS ESPÉCIES'!I40)</f>
        <v>CD</v>
      </c>
      <c r="L15" s="42">
        <v>0</v>
      </c>
      <c r="M15" s="195" t="str">
        <f>IF('DADOS ESPÉCIES'!N20="", "", 'DADOS ESPÉCIES'!N20)</f>
        <v>CM</v>
      </c>
      <c r="N15" s="187">
        <v>10</v>
      </c>
      <c r="O15" s="195" t="str">
        <f>IF('DADOS ESPÉCIES'!N40="", "", 'DADOS ESPÉCIES'!N40)</f>
        <v>CD</v>
      </c>
      <c r="P15" s="42">
        <v>0</v>
      </c>
      <c r="Q15" s="195" t="str">
        <f>IF('DADOS ESPÉCIES'!S20="", "", 'DADOS ESPÉCIES'!S20)</f>
        <v>CD</v>
      </c>
      <c r="R15" s="187">
        <v>10</v>
      </c>
      <c r="S15" s="195" t="str">
        <f>IF('DADOS ESPÉCIES'!S40="", "", 'DADOS ESPÉCIES'!S40)</f>
        <v>AF</v>
      </c>
      <c r="T15" s="43"/>
      <c r="U15" s="44"/>
      <c r="V15" s="45"/>
      <c r="W15" s="45"/>
      <c r="X15" s="45"/>
      <c r="AE15" s="45"/>
      <c r="AF15" s="45"/>
      <c r="AG15" s="45"/>
      <c r="AH15" s="45"/>
      <c r="AI15" s="45"/>
      <c r="AJ15" s="45"/>
      <c r="AK15" s="45"/>
      <c r="AL15" s="45"/>
      <c r="AM15" s="45"/>
      <c r="AN15" s="45"/>
      <c r="AO15" s="45"/>
      <c r="AP15" s="45"/>
      <c r="AQ15" s="45"/>
      <c r="AR15" s="45"/>
      <c r="AS15" s="45"/>
      <c r="AT15" s="45"/>
      <c r="AU15" s="45"/>
    </row>
    <row r="16" spans="1:47" s="26" customFormat="1" ht="14" thickBot="1">
      <c r="A16" s="23"/>
      <c r="B16" s="206"/>
      <c r="C16" s="196"/>
      <c r="D16" s="46">
        <v>0.5</v>
      </c>
      <c r="E16" s="195" t="str">
        <f>IF('DADOS ESPÉCIES'!D21="", "", 'DADOS ESPÉCIES'!D21)</f>
        <v>RC</v>
      </c>
      <c r="F16" s="187">
        <v>10.5</v>
      </c>
      <c r="G16" s="195" t="str">
        <f>IF('DADOS ESPÉCIES'!D41="", "", 'DADOS ESPÉCIES'!D41)</f>
        <v>CD</v>
      </c>
      <c r="H16" s="46">
        <v>0.5</v>
      </c>
      <c r="I16" s="195" t="str">
        <f>IF('DADOS ESPÉCIES'!I21="", "", 'DADOS ESPÉCIES'!I21)</f>
        <v>CM</v>
      </c>
      <c r="J16" s="187">
        <v>10.5</v>
      </c>
      <c r="K16" s="195" t="str">
        <f>IF('DADOS ESPÉCIES'!I41="", "", 'DADOS ESPÉCIES'!I41)</f>
        <v>CD</v>
      </c>
      <c r="L16" s="46">
        <v>0.5</v>
      </c>
      <c r="M16" s="195" t="str">
        <f>IF('DADOS ESPÉCIES'!N21="", "", 'DADOS ESPÉCIES'!N21)</f>
        <v>CM</v>
      </c>
      <c r="N16" s="187">
        <v>10.5</v>
      </c>
      <c r="O16" s="195" t="str">
        <f>IF('DADOS ESPÉCIES'!N41="", "", 'DADOS ESPÉCIES'!N41)</f>
        <v>CD</v>
      </c>
      <c r="P16" s="46">
        <v>0.5</v>
      </c>
      <c r="Q16" s="195" t="str">
        <f>IF('DADOS ESPÉCIES'!S21="", "", 'DADOS ESPÉCIES'!S21)</f>
        <v>RC</v>
      </c>
      <c r="R16" s="187">
        <v>10.5</v>
      </c>
      <c r="S16" s="195" t="str">
        <f>IF('DADOS ESPÉCIES'!S41="", "", 'DADOS ESPÉCIES'!S41)</f>
        <v>CM</v>
      </c>
      <c r="T16" s="43"/>
      <c r="U16" s="44"/>
      <c r="V16" s="45"/>
      <c r="W16" s="45"/>
      <c r="X16" s="45"/>
      <c r="AE16" s="45"/>
      <c r="AF16" s="45"/>
      <c r="AG16" s="45"/>
      <c r="AH16" s="45"/>
      <c r="AI16" s="45"/>
      <c r="AJ16" s="45"/>
      <c r="AK16" s="45"/>
      <c r="AL16" s="45"/>
      <c r="AM16" s="45"/>
      <c r="AN16" s="45"/>
      <c r="AO16" s="45"/>
      <c r="AP16" s="45"/>
      <c r="AQ16" s="45"/>
      <c r="AR16" s="45"/>
      <c r="AS16" s="45"/>
      <c r="AT16" s="45"/>
      <c r="AU16" s="45"/>
    </row>
    <row r="17" spans="1:47" s="26" customFormat="1" ht="14" thickBot="1">
      <c r="A17" s="23"/>
      <c r="B17" s="206"/>
      <c r="C17" s="196"/>
      <c r="D17" s="46">
        <v>1</v>
      </c>
      <c r="E17" s="195" t="str">
        <f>IF('DADOS ESPÉCIES'!D22="", "", 'DADOS ESPÉCIES'!D22)</f>
        <v>CM</v>
      </c>
      <c r="F17" s="187">
        <v>11</v>
      </c>
      <c r="G17" s="195" t="str">
        <f>IF('DADOS ESPÉCIES'!D42="", "", 'DADOS ESPÉCIES'!D42)</f>
        <v>RC</v>
      </c>
      <c r="H17" s="46">
        <v>1</v>
      </c>
      <c r="I17" s="195" t="str">
        <f>IF('DADOS ESPÉCIES'!I22="", "", 'DADOS ESPÉCIES'!I22)</f>
        <v>CM</v>
      </c>
      <c r="J17" s="187">
        <v>11</v>
      </c>
      <c r="K17" s="195" t="str">
        <f>IF('DADOS ESPÉCIES'!I42="", "", 'DADOS ESPÉCIES'!I42)</f>
        <v>RC</v>
      </c>
      <c r="L17" s="46">
        <v>1</v>
      </c>
      <c r="M17" s="195" t="str">
        <f>IF('DADOS ESPÉCIES'!N22="", "", 'DADOS ESPÉCIES'!N22)</f>
        <v>CD</v>
      </c>
      <c r="N17" s="187">
        <v>11</v>
      </c>
      <c r="O17" s="195" t="str">
        <f>IF('DADOS ESPÉCIES'!N42="", "", 'DADOS ESPÉCIES'!N42)</f>
        <v>CM</v>
      </c>
      <c r="P17" s="46">
        <v>1</v>
      </c>
      <c r="Q17" s="195" t="str">
        <f>IF('DADOS ESPÉCIES'!S22="", "", 'DADOS ESPÉCIES'!S22)</f>
        <v>CD</v>
      </c>
      <c r="R17" s="187">
        <v>11</v>
      </c>
      <c r="S17" s="195" t="str">
        <f>IF('DADOS ESPÉCIES'!S42="", "", 'DADOS ESPÉCIES'!S42)</f>
        <v>RC</v>
      </c>
      <c r="T17" s="43"/>
      <c r="U17" s="44"/>
      <c r="V17" s="45"/>
      <c r="W17" s="45"/>
      <c r="X17" s="45"/>
      <c r="AE17" s="45"/>
      <c r="AF17" s="45"/>
      <c r="AG17" s="45"/>
      <c r="AH17" s="45"/>
      <c r="AI17" s="45"/>
      <c r="AJ17" s="45"/>
      <c r="AK17" s="45"/>
      <c r="AL17" s="45"/>
      <c r="AM17" s="45"/>
      <c r="AN17" s="45"/>
      <c r="AO17" s="45"/>
      <c r="AP17" s="45"/>
      <c r="AQ17" s="45"/>
      <c r="AR17" s="45"/>
      <c r="AS17" s="45"/>
      <c r="AT17" s="45"/>
      <c r="AU17" s="45"/>
    </row>
    <row r="18" spans="1:47" s="26" customFormat="1" ht="14" thickBot="1">
      <c r="A18" s="23"/>
      <c r="B18" s="206"/>
      <c r="C18" s="196"/>
      <c r="D18" s="46">
        <v>1.5</v>
      </c>
      <c r="E18" s="195" t="str">
        <f>IF('DADOS ESPÉCIES'!D23="", "", 'DADOS ESPÉCIES'!D23)</f>
        <v>RC</v>
      </c>
      <c r="F18" s="187">
        <v>11.5</v>
      </c>
      <c r="G18" s="195" t="str">
        <f>IF('DADOS ESPÉCIES'!D43="", "", 'DADOS ESPÉCIES'!D43)</f>
        <v>CM</v>
      </c>
      <c r="H18" s="46">
        <v>1.5</v>
      </c>
      <c r="I18" s="195" t="str">
        <f>IF('DADOS ESPÉCIES'!I23="", "", 'DADOS ESPÉCIES'!I23)</f>
        <v>CRM</v>
      </c>
      <c r="J18" s="187">
        <v>11.5</v>
      </c>
      <c r="K18" s="195" t="str">
        <f>IF('DADOS ESPÉCIES'!I43="", "", 'DADOS ESPÉCIES'!I43)</f>
        <v>RC</v>
      </c>
      <c r="L18" s="46">
        <v>1.5</v>
      </c>
      <c r="M18" s="195" t="str">
        <f>IF('DADOS ESPÉCIES'!N23="", "", 'DADOS ESPÉCIES'!N23)</f>
        <v>RC</v>
      </c>
      <c r="N18" s="187">
        <v>11.5</v>
      </c>
      <c r="O18" s="195" t="str">
        <f>IF('DADOS ESPÉCIES'!N43="", "", 'DADOS ESPÉCIES'!N43)</f>
        <v>CD</v>
      </c>
      <c r="P18" s="46">
        <v>1.5</v>
      </c>
      <c r="Q18" s="195" t="str">
        <f>IF('DADOS ESPÉCIES'!S23="", "", 'DADOS ESPÉCIES'!S23)</f>
        <v>RC</v>
      </c>
      <c r="R18" s="187">
        <v>11.5</v>
      </c>
      <c r="S18" s="195" t="str">
        <f>IF('DADOS ESPÉCIES'!S43="", "", 'DADOS ESPÉCIES'!S43)</f>
        <v>RC</v>
      </c>
      <c r="T18" s="43"/>
      <c r="U18" s="44"/>
      <c r="V18" s="45"/>
      <c r="W18" s="45"/>
      <c r="X18" s="45"/>
      <c r="Y18" s="45"/>
      <c r="Z18" s="45"/>
      <c r="AA18" s="45"/>
      <c r="AB18" s="45"/>
      <c r="AC18" s="45"/>
      <c r="AD18" s="45"/>
      <c r="AE18" s="45"/>
      <c r="AF18" s="45"/>
      <c r="AG18" s="45"/>
      <c r="AH18" s="45"/>
      <c r="AI18" s="45"/>
      <c r="AJ18" s="45"/>
      <c r="AK18" s="45"/>
      <c r="AL18" s="45"/>
      <c r="AM18" s="45"/>
      <c r="AN18" s="45"/>
      <c r="AO18" s="45"/>
      <c r="AP18" s="45"/>
      <c r="AQ18" s="45"/>
      <c r="AR18" s="45"/>
      <c r="AS18" s="45"/>
      <c r="AT18" s="45"/>
      <c r="AU18" s="45"/>
    </row>
    <row r="19" spans="1:47" s="26" customFormat="1" ht="14" thickBot="1">
      <c r="A19" s="23"/>
      <c r="B19" s="206"/>
      <c r="C19" s="196"/>
      <c r="D19" s="46">
        <v>2</v>
      </c>
      <c r="E19" s="195" t="str">
        <f>IF('DADOS ESPÉCIES'!D24="", "", 'DADOS ESPÉCIES'!D24)</f>
        <v>ACI</v>
      </c>
      <c r="F19" s="187">
        <v>12</v>
      </c>
      <c r="G19" s="195" t="str">
        <f>IF('DADOS ESPÉCIES'!D44="", "", 'DADOS ESPÉCIES'!D44)</f>
        <v>RC</v>
      </c>
      <c r="H19" s="46">
        <v>2</v>
      </c>
      <c r="I19" s="195" t="str">
        <f>IF('DADOS ESPÉCIES'!I24="", "", 'DADOS ESPÉCIES'!I24)</f>
        <v>CD</v>
      </c>
      <c r="J19" s="187">
        <v>12</v>
      </c>
      <c r="K19" s="195" t="str">
        <f>IF('DADOS ESPÉCIES'!I44="", "", 'DADOS ESPÉCIES'!I44)</f>
        <v>CD</v>
      </c>
      <c r="L19" s="46">
        <v>2</v>
      </c>
      <c r="M19" s="195" t="str">
        <f>IF('DADOS ESPÉCIES'!N24="", "", 'DADOS ESPÉCIES'!N24)</f>
        <v>RC</v>
      </c>
      <c r="N19" s="187">
        <v>12</v>
      </c>
      <c r="O19" s="195" t="str">
        <f>IF('DADOS ESPÉCIES'!N44="", "", 'DADOS ESPÉCIES'!N44)</f>
        <v>CM</v>
      </c>
      <c r="P19" s="46">
        <v>2</v>
      </c>
      <c r="Q19" s="195" t="str">
        <f>IF('DADOS ESPÉCIES'!S24="", "", 'DADOS ESPÉCIES'!S24)</f>
        <v>RC</v>
      </c>
      <c r="R19" s="187">
        <v>12</v>
      </c>
      <c r="S19" s="195" t="str">
        <f>IF('DADOS ESPÉCIES'!S44="", "", 'DADOS ESPÉCIES'!S44)</f>
        <v>CM</v>
      </c>
      <c r="T19" s="43"/>
      <c r="U19" s="44"/>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row>
    <row r="20" spans="1:47" s="26" customFormat="1" ht="14" thickBot="1">
      <c r="A20" s="23"/>
      <c r="B20" s="206"/>
      <c r="C20" s="196"/>
      <c r="D20" s="46">
        <v>2.5</v>
      </c>
      <c r="E20" s="195" t="str">
        <f>IF('DADOS ESPÉCIES'!D25="", "", 'DADOS ESPÉCIES'!D25)</f>
        <v>CM</v>
      </c>
      <c r="F20" s="187">
        <v>12.5</v>
      </c>
      <c r="G20" s="195" t="str">
        <f>IF('DADOS ESPÉCIES'!D45="", "", 'DADOS ESPÉCIES'!D45)</f>
        <v>RC</v>
      </c>
      <c r="H20" s="46">
        <v>2.5</v>
      </c>
      <c r="I20" s="195" t="str">
        <f>IF('DADOS ESPÉCIES'!I25="", "", 'DADOS ESPÉCIES'!I25)</f>
        <v>CM</v>
      </c>
      <c r="J20" s="187">
        <v>12.5</v>
      </c>
      <c r="K20" s="195" t="str">
        <f>IF('DADOS ESPÉCIES'!I45="", "", 'DADOS ESPÉCIES'!I45)</f>
        <v>RC</v>
      </c>
      <c r="L20" s="46">
        <v>2.5</v>
      </c>
      <c r="M20" s="195" t="str">
        <f>IF('DADOS ESPÉCIES'!N25="", "", 'DADOS ESPÉCIES'!N25)</f>
        <v>CD</v>
      </c>
      <c r="N20" s="187">
        <v>12.5</v>
      </c>
      <c r="O20" s="195" t="str">
        <f>IF('DADOS ESPÉCIES'!N45="", "", 'DADOS ESPÉCIES'!N45)</f>
        <v>CD</v>
      </c>
      <c r="P20" s="46">
        <v>2.5</v>
      </c>
      <c r="Q20" s="195" t="str">
        <f>IF('DADOS ESPÉCIES'!S25="", "", 'DADOS ESPÉCIES'!S25)</f>
        <v>CD</v>
      </c>
      <c r="R20" s="187">
        <v>12.5</v>
      </c>
      <c r="S20" s="195" t="str">
        <f>IF('DADOS ESPÉCIES'!S45="", "", 'DADOS ESPÉCIES'!S45)</f>
        <v>RC</v>
      </c>
      <c r="T20" s="43"/>
      <c r="U20" s="44"/>
      <c r="V20" s="45"/>
      <c r="W20" s="45"/>
      <c r="X20" s="45"/>
      <c r="Y20" s="45"/>
      <c r="Z20" s="45"/>
      <c r="AA20" s="45"/>
      <c r="AB20" s="45"/>
      <c r="AC20" s="45"/>
      <c r="AD20" s="45"/>
      <c r="AE20" s="45"/>
      <c r="AF20" s="45"/>
      <c r="AG20" s="45"/>
      <c r="AH20" s="45"/>
      <c r="AI20" s="45"/>
      <c r="AJ20" s="45"/>
      <c r="AK20" s="45"/>
      <c r="AL20" s="45"/>
      <c r="AM20" s="45"/>
      <c r="AN20" s="45"/>
      <c r="AO20" s="45"/>
      <c r="AP20" s="45"/>
      <c r="AQ20" s="45"/>
      <c r="AR20" s="45"/>
      <c r="AS20" s="45"/>
      <c r="AT20" s="45"/>
      <c r="AU20" s="45"/>
    </row>
    <row r="21" spans="1:47" s="26" customFormat="1" ht="14" thickBot="1">
      <c r="A21" s="23"/>
      <c r="B21" s="206"/>
      <c r="C21" s="196"/>
      <c r="D21" s="46">
        <v>3</v>
      </c>
      <c r="E21" s="195" t="str">
        <f>IF('DADOS ESPÉCIES'!D26="", "", 'DADOS ESPÉCIES'!D26)</f>
        <v>CD</v>
      </c>
      <c r="F21" s="187">
        <v>13</v>
      </c>
      <c r="G21" s="195" t="str">
        <f>IF('DADOS ESPÉCIES'!D46="", "", 'DADOS ESPÉCIES'!D46)</f>
        <v>ACI</v>
      </c>
      <c r="H21" s="46">
        <v>3</v>
      </c>
      <c r="I21" s="195" t="str">
        <f>IF('DADOS ESPÉCIES'!I26="", "", 'DADOS ESPÉCIES'!I26)</f>
        <v>CM</v>
      </c>
      <c r="J21" s="187">
        <v>13</v>
      </c>
      <c r="K21" s="195" t="str">
        <f>IF('DADOS ESPÉCIES'!I46="", "", 'DADOS ESPÉCIES'!I46)</f>
        <v>RC</v>
      </c>
      <c r="L21" s="46">
        <v>3</v>
      </c>
      <c r="M21" s="195" t="str">
        <f>IF('DADOS ESPÉCIES'!N26="", "", 'DADOS ESPÉCIES'!N26)</f>
        <v>RC</v>
      </c>
      <c r="N21" s="187">
        <v>13</v>
      </c>
      <c r="O21" s="195" t="str">
        <f>IF('DADOS ESPÉCIES'!N46="", "", 'DADOS ESPÉCIES'!N46)</f>
        <v>CD</v>
      </c>
      <c r="P21" s="46">
        <v>3</v>
      </c>
      <c r="Q21" s="195" t="str">
        <f>IF('DADOS ESPÉCIES'!S26="", "", 'DADOS ESPÉCIES'!S26)</f>
        <v>CM</v>
      </c>
      <c r="R21" s="187">
        <v>13</v>
      </c>
      <c r="S21" s="195" t="str">
        <f>IF('DADOS ESPÉCIES'!S46="", "", 'DADOS ESPÉCIES'!S46)</f>
        <v>CD</v>
      </c>
      <c r="T21" s="43"/>
      <c r="U21" s="44"/>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45"/>
      <c r="AU21" s="45"/>
    </row>
    <row r="22" spans="1:47" s="26" customFormat="1" ht="14" thickBot="1">
      <c r="A22" s="23"/>
      <c r="B22" s="206"/>
      <c r="C22" s="196"/>
      <c r="D22" s="46">
        <v>3.5</v>
      </c>
      <c r="E22" s="195" t="str">
        <f>IF('DADOS ESPÉCIES'!D27="", "", 'DADOS ESPÉCIES'!D27)</f>
        <v>ACI</v>
      </c>
      <c r="F22" s="187">
        <v>13.5</v>
      </c>
      <c r="G22" s="195" t="str">
        <f>IF('DADOS ESPÉCIES'!D47="", "", 'DADOS ESPÉCIES'!D47)</f>
        <v>CD</v>
      </c>
      <c r="H22" s="46">
        <v>3.5</v>
      </c>
      <c r="I22" s="195" t="str">
        <f>IF('DADOS ESPÉCIES'!I27="", "", 'DADOS ESPÉCIES'!I27)</f>
        <v>CD</v>
      </c>
      <c r="J22" s="187">
        <v>13.5</v>
      </c>
      <c r="K22" s="195" t="str">
        <f>IF('DADOS ESPÉCIES'!I47="", "", 'DADOS ESPÉCIES'!I47)</f>
        <v>CM</v>
      </c>
      <c r="L22" s="46">
        <v>3.5</v>
      </c>
      <c r="M22" s="195" t="str">
        <f>IF('DADOS ESPÉCIES'!N27="", "", 'DADOS ESPÉCIES'!N27)</f>
        <v>CM</v>
      </c>
      <c r="N22" s="187">
        <v>13.5</v>
      </c>
      <c r="O22" s="195" t="str">
        <f>IF('DADOS ESPÉCIES'!N47="", "", 'DADOS ESPÉCIES'!N47)</f>
        <v>CD</v>
      </c>
      <c r="P22" s="46">
        <v>3.5</v>
      </c>
      <c r="Q22" s="195" t="str">
        <f>IF('DADOS ESPÉCIES'!S27="", "", 'DADOS ESPÉCIES'!S27)</f>
        <v>AF</v>
      </c>
      <c r="R22" s="187">
        <v>13.5</v>
      </c>
      <c r="S22" s="195" t="str">
        <f>IF('DADOS ESPÉCIES'!S47="", "", 'DADOS ESPÉCIES'!S47)</f>
        <v>CD</v>
      </c>
      <c r="T22" s="43"/>
      <c r="U22" s="44"/>
      <c r="V22" s="45"/>
      <c r="W22" s="45"/>
      <c r="X22" s="45"/>
      <c r="Y22" s="45"/>
      <c r="Z22" s="45"/>
      <c r="AA22" s="45"/>
      <c r="AB22" s="45"/>
      <c r="AC22" s="45"/>
      <c r="AD22" s="45"/>
      <c r="AE22" s="45"/>
      <c r="AF22" s="45"/>
      <c r="AG22" s="45"/>
      <c r="AH22" s="45"/>
      <c r="AI22" s="45"/>
      <c r="AJ22" s="45"/>
      <c r="AK22" s="45"/>
      <c r="AL22" s="45"/>
      <c r="AM22" s="45"/>
      <c r="AN22" s="45"/>
      <c r="AO22" s="45"/>
      <c r="AP22" s="45"/>
      <c r="AQ22" s="45"/>
      <c r="AR22" s="45"/>
      <c r="AS22" s="45"/>
      <c r="AT22" s="45"/>
      <c r="AU22" s="45"/>
    </row>
    <row r="23" spans="1:47" s="26" customFormat="1" ht="14" thickBot="1">
      <c r="A23" s="23"/>
      <c r="B23" s="206"/>
      <c r="C23" s="196"/>
      <c r="D23" s="46">
        <v>4</v>
      </c>
      <c r="E23" s="195" t="str">
        <f>IF('DADOS ESPÉCIES'!D28="", "", 'DADOS ESPÉCIES'!D28)</f>
        <v>RC</v>
      </c>
      <c r="F23" s="187">
        <v>14</v>
      </c>
      <c r="G23" s="195" t="str">
        <f>IF('DADOS ESPÉCIES'!D48="", "", 'DADOS ESPÉCIES'!D48)</f>
        <v>RC</v>
      </c>
      <c r="H23" s="46">
        <v>4</v>
      </c>
      <c r="I23" s="195" t="str">
        <f>IF('DADOS ESPÉCIES'!I28="", "", 'DADOS ESPÉCIES'!I28)</f>
        <v>RC</v>
      </c>
      <c r="J23" s="187">
        <v>14</v>
      </c>
      <c r="K23" s="195" t="str">
        <f>IF('DADOS ESPÉCIES'!I48="", "", 'DADOS ESPÉCIES'!I48)</f>
        <v>CM</v>
      </c>
      <c r="L23" s="46">
        <v>4</v>
      </c>
      <c r="M23" s="195" t="str">
        <f>IF('DADOS ESPÉCIES'!N28="", "", 'DADOS ESPÉCIES'!N28)</f>
        <v>CM</v>
      </c>
      <c r="N23" s="187">
        <v>14</v>
      </c>
      <c r="O23" s="195" t="str">
        <f>IF('DADOS ESPÉCIES'!N48="", "", 'DADOS ESPÉCIES'!N48)</f>
        <v>CD</v>
      </c>
      <c r="P23" s="46">
        <v>4</v>
      </c>
      <c r="Q23" s="195" t="str">
        <f>IF('DADOS ESPÉCIES'!S28="", "", 'DADOS ESPÉCIES'!S28)</f>
        <v>RC</v>
      </c>
      <c r="R23" s="187">
        <v>14</v>
      </c>
      <c r="S23" s="195" t="str">
        <f>IF('DADOS ESPÉCIES'!S48="", "", 'DADOS ESPÉCIES'!S48)</f>
        <v>CM</v>
      </c>
      <c r="T23" s="43"/>
      <c r="U23" s="44"/>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row>
    <row r="24" spans="1:47" s="26" customFormat="1" ht="14" thickBot="1">
      <c r="A24" s="23"/>
      <c r="B24" s="206"/>
      <c r="C24" s="196"/>
      <c r="D24" s="46">
        <v>4.5</v>
      </c>
      <c r="E24" s="195" t="str">
        <f>IF('DADOS ESPÉCIES'!D29="", "", 'DADOS ESPÉCIES'!D29)</f>
        <v>ACI</v>
      </c>
      <c r="F24" s="187">
        <v>14.5</v>
      </c>
      <c r="G24" s="195" t="str">
        <f>IF('DADOS ESPÉCIES'!D49="", "", 'DADOS ESPÉCIES'!D49)</f>
        <v>ACI</v>
      </c>
      <c r="H24" s="46">
        <v>4.5</v>
      </c>
      <c r="I24" s="195" t="str">
        <f>IF('DADOS ESPÉCIES'!I29="", "", 'DADOS ESPÉCIES'!I29)</f>
        <v>CD</v>
      </c>
      <c r="J24" s="187">
        <v>14.5</v>
      </c>
      <c r="K24" s="195" t="str">
        <f>IF('DADOS ESPÉCIES'!I49="", "", 'DADOS ESPÉCIES'!I49)</f>
        <v>CM</v>
      </c>
      <c r="L24" s="46">
        <v>4.5</v>
      </c>
      <c r="M24" s="195" t="str">
        <f>IF('DADOS ESPÉCIES'!N29="", "", 'DADOS ESPÉCIES'!N29)</f>
        <v>CD</v>
      </c>
      <c r="N24" s="187">
        <v>14.5</v>
      </c>
      <c r="O24" s="195" t="str">
        <f>IF('DADOS ESPÉCIES'!N49="", "", 'DADOS ESPÉCIES'!N49)</f>
        <v>AF</v>
      </c>
      <c r="P24" s="46">
        <v>4.5</v>
      </c>
      <c r="Q24" s="195" t="str">
        <f>IF('DADOS ESPÉCIES'!S29="", "", 'DADOS ESPÉCIES'!S29)</f>
        <v>RC</v>
      </c>
      <c r="R24" s="187">
        <v>14.5</v>
      </c>
      <c r="S24" s="195" t="str">
        <f>IF('DADOS ESPÉCIES'!S49="", "", 'DADOS ESPÉCIES'!S49)</f>
        <v>CM</v>
      </c>
      <c r="T24" s="43"/>
      <c r="U24" s="44"/>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row>
    <row r="25" spans="1:47" s="26" customFormat="1" ht="14" thickBot="1">
      <c r="A25" s="23"/>
      <c r="B25" s="206"/>
      <c r="C25" s="196"/>
      <c r="D25" s="46">
        <v>5</v>
      </c>
      <c r="E25" s="195" t="str">
        <f>IF('DADOS ESPÉCIES'!D30="", "", 'DADOS ESPÉCIES'!D30)</f>
        <v>RC</v>
      </c>
      <c r="F25" s="187">
        <v>15</v>
      </c>
      <c r="G25" s="195" t="str">
        <f>IF('DADOS ESPÉCIES'!D50="", "", 'DADOS ESPÉCIES'!D50)</f>
        <v>CM</v>
      </c>
      <c r="H25" s="46">
        <v>5</v>
      </c>
      <c r="I25" s="195" t="str">
        <f>IF('DADOS ESPÉCIES'!I30="", "", 'DADOS ESPÉCIES'!I30)</f>
        <v>RC</v>
      </c>
      <c r="J25" s="187">
        <v>15</v>
      </c>
      <c r="K25" s="195" t="str">
        <f>IF('DADOS ESPÉCIES'!I50="", "", 'DADOS ESPÉCIES'!I50)</f>
        <v>RC</v>
      </c>
      <c r="L25" s="46">
        <v>5</v>
      </c>
      <c r="M25" s="195" t="str">
        <f>IF('DADOS ESPÉCIES'!N30="", "", 'DADOS ESPÉCIES'!N30)</f>
        <v>CD</v>
      </c>
      <c r="N25" s="187">
        <v>15</v>
      </c>
      <c r="O25" s="195" t="str">
        <f>IF('DADOS ESPÉCIES'!N50="", "", 'DADOS ESPÉCIES'!N50)</f>
        <v>AF</v>
      </c>
      <c r="P25" s="46">
        <v>5</v>
      </c>
      <c r="Q25" s="195" t="str">
        <f>IF('DADOS ESPÉCIES'!S30="", "", 'DADOS ESPÉCIES'!S30)</f>
        <v>CD</v>
      </c>
      <c r="R25" s="187">
        <v>15</v>
      </c>
      <c r="S25" s="195" t="str">
        <f>IF('DADOS ESPÉCIES'!S50="", "", 'DADOS ESPÉCIES'!S50)</f>
        <v>CM</v>
      </c>
      <c r="T25" s="43"/>
      <c r="U25" s="44"/>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row>
    <row r="26" spans="1:47" s="26" customFormat="1" ht="14" thickBot="1">
      <c r="A26" s="23"/>
      <c r="B26" s="206"/>
      <c r="C26" s="196"/>
      <c r="D26" s="46">
        <v>5.5</v>
      </c>
      <c r="E26" s="195" t="str">
        <f>IF('DADOS ESPÉCIES'!D31="", "", 'DADOS ESPÉCIES'!D31)</f>
        <v>RC</v>
      </c>
      <c r="F26" s="187">
        <v>15.5</v>
      </c>
      <c r="G26" s="195" t="str">
        <f>IF('DADOS ESPÉCIES'!D51="", "", 'DADOS ESPÉCIES'!D51)</f>
        <v>RC</v>
      </c>
      <c r="H26" s="46">
        <v>5.5</v>
      </c>
      <c r="I26" s="195" t="str">
        <f>IF('DADOS ESPÉCIES'!I31="", "", 'DADOS ESPÉCIES'!I31)</f>
        <v>AF</v>
      </c>
      <c r="J26" s="187">
        <v>15.5</v>
      </c>
      <c r="K26" s="195" t="str">
        <f>IF('DADOS ESPÉCIES'!I51="", "", 'DADOS ESPÉCIES'!I51)</f>
        <v>CD</v>
      </c>
      <c r="L26" s="46">
        <v>5.5</v>
      </c>
      <c r="M26" s="195" t="str">
        <f>IF('DADOS ESPÉCIES'!N31="", "", 'DADOS ESPÉCIES'!N31)</f>
        <v>CM</v>
      </c>
      <c r="N26" s="187">
        <v>15.5</v>
      </c>
      <c r="O26" s="195" t="str">
        <f>IF('DADOS ESPÉCIES'!N51="", "", 'DADOS ESPÉCIES'!N51)</f>
        <v>CM</v>
      </c>
      <c r="P26" s="46">
        <v>5.5</v>
      </c>
      <c r="Q26" s="195" t="str">
        <f>IF('DADOS ESPÉCIES'!S31="", "", 'DADOS ESPÉCIES'!S31)</f>
        <v>CD</v>
      </c>
      <c r="R26" s="187">
        <v>15.5</v>
      </c>
      <c r="S26" s="195" t="str">
        <f>IF('DADOS ESPÉCIES'!S51="", "", 'DADOS ESPÉCIES'!S51)</f>
        <v>CM</v>
      </c>
      <c r="T26" s="43"/>
      <c r="U26" s="44"/>
      <c r="V26" s="45"/>
      <c r="W26" s="45"/>
      <c r="X26" s="45"/>
      <c r="Y26" s="45"/>
      <c r="Z26" s="45"/>
      <c r="AA26" s="45"/>
      <c r="AB26" s="45"/>
      <c r="AC26" s="45"/>
      <c r="AD26" s="45"/>
      <c r="AE26" s="45"/>
      <c r="AF26" s="45"/>
      <c r="AG26" s="45"/>
      <c r="AH26" s="45"/>
      <c r="AI26" s="45"/>
      <c r="AJ26" s="45"/>
      <c r="AK26" s="45"/>
      <c r="AL26" s="45"/>
      <c r="AM26" s="45"/>
      <c r="AN26" s="45"/>
      <c r="AO26" s="45"/>
      <c r="AP26" s="45"/>
      <c r="AQ26" s="45"/>
      <c r="AR26" s="45"/>
      <c r="AS26" s="45"/>
      <c r="AT26" s="45"/>
      <c r="AU26" s="45"/>
    </row>
    <row r="27" spans="1:47" s="26" customFormat="1" ht="14" thickBot="1">
      <c r="A27" s="23"/>
      <c r="B27" s="206"/>
      <c r="C27" s="196"/>
      <c r="D27" s="46">
        <v>6</v>
      </c>
      <c r="E27" s="195" t="str">
        <f>IF('DADOS ESPÉCIES'!D32="", "", 'DADOS ESPÉCIES'!D32)</f>
        <v>RC</v>
      </c>
      <c r="F27" s="187">
        <v>16</v>
      </c>
      <c r="G27" s="195" t="str">
        <f>IF('DADOS ESPÉCIES'!D52="", "", 'DADOS ESPÉCIES'!D52)</f>
        <v>AF</v>
      </c>
      <c r="H27" s="46">
        <v>6</v>
      </c>
      <c r="I27" s="195" t="str">
        <f>IF('DADOS ESPÉCIES'!I32="", "", 'DADOS ESPÉCIES'!I32)</f>
        <v>CD</v>
      </c>
      <c r="J27" s="187">
        <v>16</v>
      </c>
      <c r="K27" s="195" t="str">
        <f>IF('DADOS ESPÉCIES'!I52="", "", 'DADOS ESPÉCIES'!I52)</f>
        <v>AF</v>
      </c>
      <c r="L27" s="46">
        <v>6</v>
      </c>
      <c r="M27" s="195" t="str">
        <f>IF('DADOS ESPÉCIES'!N32="", "", 'DADOS ESPÉCIES'!N32)</f>
        <v>RC</v>
      </c>
      <c r="N27" s="187">
        <v>16</v>
      </c>
      <c r="O27" s="195" t="str">
        <f>IF('DADOS ESPÉCIES'!N52="", "", 'DADOS ESPÉCIES'!N52)</f>
        <v>CD</v>
      </c>
      <c r="P27" s="46">
        <v>6</v>
      </c>
      <c r="Q27" s="195" t="str">
        <f>IF('DADOS ESPÉCIES'!S32="", "", 'DADOS ESPÉCIES'!S32)</f>
        <v>CD</v>
      </c>
      <c r="R27" s="187">
        <v>16</v>
      </c>
      <c r="S27" s="195" t="str">
        <f>IF('DADOS ESPÉCIES'!S52="", "", 'DADOS ESPÉCIES'!S52)</f>
        <v>CD</v>
      </c>
      <c r="T27" s="43"/>
      <c r="U27" s="44"/>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row>
    <row r="28" spans="1:47" s="26" customFormat="1" ht="14" thickBot="1">
      <c r="A28" s="23"/>
      <c r="B28" s="206"/>
      <c r="C28" s="196"/>
      <c r="D28" s="46">
        <v>6.5</v>
      </c>
      <c r="E28" s="195" t="str">
        <f>IF('DADOS ESPÉCIES'!D33="", "", 'DADOS ESPÉCIES'!D33)</f>
        <v>RC</v>
      </c>
      <c r="F28" s="187">
        <v>16.5</v>
      </c>
      <c r="G28" s="195" t="str">
        <f>IF('DADOS ESPÉCIES'!D53="", "", 'DADOS ESPÉCIES'!D53)</f>
        <v>RC</v>
      </c>
      <c r="H28" s="46">
        <v>6.5</v>
      </c>
      <c r="I28" s="195" t="str">
        <f>IF('DADOS ESPÉCIES'!I33="", "", 'DADOS ESPÉCIES'!I33)</f>
        <v>CM</v>
      </c>
      <c r="J28" s="187">
        <v>16.5</v>
      </c>
      <c r="K28" s="195" t="str">
        <f>IF('DADOS ESPÉCIES'!I53="", "", 'DADOS ESPÉCIES'!I53)</f>
        <v>CD</v>
      </c>
      <c r="L28" s="46">
        <v>6.5</v>
      </c>
      <c r="M28" s="195" t="str">
        <f>IF('DADOS ESPÉCIES'!N33="", "", 'DADOS ESPÉCIES'!N33)</f>
        <v>CD</v>
      </c>
      <c r="N28" s="187">
        <v>16.5</v>
      </c>
      <c r="O28" s="195" t="str">
        <f>IF('DADOS ESPÉCIES'!N53="", "", 'DADOS ESPÉCIES'!N53)</f>
        <v>CD</v>
      </c>
      <c r="P28" s="46">
        <v>6.5</v>
      </c>
      <c r="Q28" s="195" t="str">
        <f>IF('DADOS ESPÉCIES'!S33="", "", 'DADOS ESPÉCIES'!S33)</f>
        <v>RC</v>
      </c>
      <c r="R28" s="187">
        <v>16.5</v>
      </c>
      <c r="S28" s="195" t="str">
        <f>IF('DADOS ESPÉCIES'!S53="", "", 'DADOS ESPÉCIES'!S53)</f>
        <v>CM</v>
      </c>
      <c r="T28" s="43"/>
      <c r="U28" s="44"/>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row>
    <row r="29" spans="1:47" s="26" customFormat="1" ht="14" thickBot="1">
      <c r="A29" s="23"/>
      <c r="B29" s="206"/>
      <c r="C29" s="196"/>
      <c r="D29" s="46">
        <v>7</v>
      </c>
      <c r="E29" s="195" t="str">
        <f>IF('DADOS ESPÉCIES'!D34="", "", 'DADOS ESPÉCIES'!D34)</f>
        <v>CM</v>
      </c>
      <c r="F29" s="187">
        <v>17</v>
      </c>
      <c r="G29" s="195" t="str">
        <f>IF('DADOS ESPÉCIES'!D54="", "", 'DADOS ESPÉCIES'!D54)</f>
        <v>CRM</v>
      </c>
      <c r="H29" s="46">
        <v>7</v>
      </c>
      <c r="I29" s="195" t="str">
        <f>IF('DADOS ESPÉCIES'!I34="", "", 'DADOS ESPÉCIES'!I34)</f>
        <v>CM</v>
      </c>
      <c r="J29" s="187">
        <v>17</v>
      </c>
      <c r="K29" s="195" t="str">
        <f>IF('DADOS ESPÉCIES'!I54="", "", 'DADOS ESPÉCIES'!I54)</f>
        <v>CD</v>
      </c>
      <c r="L29" s="46">
        <v>7</v>
      </c>
      <c r="M29" s="195" t="str">
        <f>IF('DADOS ESPÉCIES'!N34="", "", 'DADOS ESPÉCIES'!N34)</f>
        <v>CD</v>
      </c>
      <c r="N29" s="187">
        <v>17</v>
      </c>
      <c r="O29" s="195" t="str">
        <f>IF('DADOS ESPÉCIES'!N54="", "", 'DADOS ESPÉCIES'!N54)</f>
        <v>CD</v>
      </c>
      <c r="P29" s="46">
        <v>7</v>
      </c>
      <c r="Q29" s="195" t="str">
        <f>IF('DADOS ESPÉCIES'!S34="", "", 'DADOS ESPÉCIES'!S34)</f>
        <v>CD</v>
      </c>
      <c r="R29" s="187">
        <v>17</v>
      </c>
      <c r="S29" s="195" t="str">
        <f>IF('DADOS ESPÉCIES'!S54="", "", 'DADOS ESPÉCIES'!S54)</f>
        <v>CD</v>
      </c>
      <c r="T29" s="43"/>
      <c r="U29" s="44"/>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row>
    <row r="30" spans="1:47" s="26" customFormat="1" ht="14" thickBot="1">
      <c r="A30" s="23"/>
      <c r="B30" s="206"/>
      <c r="C30" s="196"/>
      <c r="D30" s="46">
        <v>7.5</v>
      </c>
      <c r="E30" s="195" t="str">
        <f>IF('DADOS ESPÉCIES'!D35="", "", 'DADOS ESPÉCIES'!D35)</f>
        <v>CD</v>
      </c>
      <c r="F30" s="187">
        <v>17.5</v>
      </c>
      <c r="G30" s="195" t="str">
        <f>IF('DADOS ESPÉCIES'!D55="", "", 'DADOS ESPÉCIES'!D55)</f>
        <v>CD</v>
      </c>
      <c r="H30" s="46">
        <v>7.5</v>
      </c>
      <c r="I30" s="195" t="str">
        <f>IF('DADOS ESPÉCIES'!I35="", "", 'DADOS ESPÉCIES'!I35)</f>
        <v>CM</v>
      </c>
      <c r="J30" s="187">
        <v>17.5</v>
      </c>
      <c r="K30" s="195" t="str">
        <f>IF('DADOS ESPÉCIES'!I55="", "", 'DADOS ESPÉCIES'!I55)</f>
        <v>CD</v>
      </c>
      <c r="L30" s="46">
        <v>7.5</v>
      </c>
      <c r="M30" s="195" t="str">
        <f>IF('DADOS ESPÉCIES'!N35="", "", 'DADOS ESPÉCIES'!N35)</f>
        <v>CD</v>
      </c>
      <c r="N30" s="187">
        <v>17.5</v>
      </c>
      <c r="O30" s="195" t="str">
        <f>IF('DADOS ESPÉCIES'!N55="", "", 'DADOS ESPÉCIES'!N55)</f>
        <v>RC</v>
      </c>
      <c r="P30" s="46">
        <v>7.5</v>
      </c>
      <c r="Q30" s="195" t="str">
        <f>IF('DADOS ESPÉCIES'!S35="", "", 'DADOS ESPÉCIES'!S35)</f>
        <v>RC</v>
      </c>
      <c r="R30" s="187">
        <v>17.5</v>
      </c>
      <c r="S30" s="195" t="str">
        <f>IF('DADOS ESPÉCIES'!S55="", "", 'DADOS ESPÉCIES'!S55)</f>
        <v>CD</v>
      </c>
      <c r="T30" s="43"/>
      <c r="U30" s="44"/>
      <c r="V30" s="45"/>
      <c r="W30" s="45"/>
      <c r="X30" s="45"/>
      <c r="Y30" s="45"/>
      <c r="Z30" s="45"/>
      <c r="AA30" s="45"/>
      <c r="AB30" s="45"/>
      <c r="AC30" s="45"/>
      <c r="AD30" s="45"/>
      <c r="AE30" s="45"/>
      <c r="AF30" s="45"/>
      <c r="AG30" s="45"/>
      <c r="AH30" s="45"/>
      <c r="AI30" s="45"/>
      <c r="AJ30" s="45"/>
      <c r="AK30" s="45"/>
      <c r="AL30" s="45"/>
      <c r="AM30" s="45"/>
      <c r="AN30" s="45"/>
      <c r="AO30" s="45"/>
      <c r="AP30" s="45"/>
      <c r="AQ30" s="45"/>
      <c r="AR30" s="45"/>
      <c r="AS30" s="45"/>
      <c r="AT30" s="45"/>
      <c r="AU30" s="45"/>
    </row>
    <row r="31" spans="1:47" s="26" customFormat="1" ht="14" thickBot="1">
      <c r="A31" s="23"/>
      <c r="B31" s="206"/>
      <c r="C31" s="196"/>
      <c r="D31" s="46">
        <v>8</v>
      </c>
      <c r="E31" s="195" t="str">
        <f>IF('DADOS ESPÉCIES'!D36="", "", 'DADOS ESPÉCIES'!D36)</f>
        <v>CD</v>
      </c>
      <c r="F31" s="187">
        <v>18</v>
      </c>
      <c r="G31" s="195" t="str">
        <f>IF('DADOS ESPÉCIES'!D56="", "", 'DADOS ESPÉCIES'!D56)</f>
        <v>AF</v>
      </c>
      <c r="H31" s="46">
        <v>8</v>
      </c>
      <c r="I31" s="195" t="str">
        <f>IF('DADOS ESPÉCIES'!I36="", "", 'DADOS ESPÉCIES'!I36)</f>
        <v>CM</v>
      </c>
      <c r="J31" s="187">
        <v>18</v>
      </c>
      <c r="K31" s="195" t="str">
        <f>IF('DADOS ESPÉCIES'!I56="", "", 'DADOS ESPÉCIES'!I56)</f>
        <v>CD</v>
      </c>
      <c r="L31" s="46">
        <v>8</v>
      </c>
      <c r="M31" s="195" t="str">
        <f>IF('DADOS ESPÉCIES'!N36="", "", 'DADOS ESPÉCIES'!N36)</f>
        <v>CD</v>
      </c>
      <c r="N31" s="187">
        <v>18</v>
      </c>
      <c r="O31" s="195" t="str">
        <f>IF('DADOS ESPÉCIES'!N56="", "", 'DADOS ESPÉCIES'!N56)</f>
        <v>CD</v>
      </c>
      <c r="P31" s="46">
        <v>8</v>
      </c>
      <c r="Q31" s="195" t="str">
        <f>IF('DADOS ESPÉCIES'!S36="", "", 'DADOS ESPÉCIES'!S36)</f>
        <v>CD</v>
      </c>
      <c r="R31" s="187">
        <v>18</v>
      </c>
      <c r="S31" s="195" t="str">
        <f>IF('DADOS ESPÉCIES'!S56="", "", 'DADOS ESPÉCIES'!S56)</f>
        <v>RC</v>
      </c>
      <c r="T31" s="43"/>
      <c r="U31" s="44"/>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5"/>
      <c r="AU31" s="45"/>
    </row>
    <row r="32" spans="1:47" s="26" customFormat="1" ht="14" thickBot="1">
      <c r="A32" s="23"/>
      <c r="B32" s="206"/>
      <c r="C32" s="196"/>
      <c r="D32" s="46">
        <v>8.5</v>
      </c>
      <c r="E32" s="195" t="str">
        <f>IF('DADOS ESPÉCIES'!D37="", "", 'DADOS ESPÉCIES'!D37)</f>
        <v>RC</v>
      </c>
      <c r="F32" s="187">
        <v>18.5</v>
      </c>
      <c r="G32" s="195" t="str">
        <f>IF('DADOS ESPÉCIES'!D57="", "", 'DADOS ESPÉCIES'!D57)</f>
        <v>ACI</v>
      </c>
      <c r="H32" s="46">
        <v>8.5</v>
      </c>
      <c r="I32" s="195" t="str">
        <f>IF('DADOS ESPÉCIES'!I37="", "", 'DADOS ESPÉCIES'!I37)</f>
        <v>CM</v>
      </c>
      <c r="J32" s="187">
        <v>18.5</v>
      </c>
      <c r="K32" s="195" t="str">
        <f>IF('DADOS ESPÉCIES'!I57="", "", 'DADOS ESPÉCIES'!I57)</f>
        <v>RC</v>
      </c>
      <c r="L32" s="46">
        <v>8.5</v>
      </c>
      <c r="M32" s="195" t="str">
        <f>IF('DADOS ESPÉCIES'!N37="", "", 'DADOS ESPÉCIES'!N37)</f>
        <v>CD</v>
      </c>
      <c r="N32" s="187">
        <v>18.5</v>
      </c>
      <c r="O32" s="195" t="str">
        <f>IF('DADOS ESPÉCIES'!N57="", "", 'DADOS ESPÉCIES'!N57)</f>
        <v>RC</v>
      </c>
      <c r="P32" s="46">
        <v>8.5</v>
      </c>
      <c r="Q32" s="195" t="str">
        <f>IF('DADOS ESPÉCIES'!S37="", "", 'DADOS ESPÉCIES'!S37)</f>
        <v>CD</v>
      </c>
      <c r="R32" s="187">
        <v>18.5</v>
      </c>
      <c r="S32" s="195" t="str">
        <f>IF('DADOS ESPÉCIES'!S57="", "", 'DADOS ESPÉCIES'!S57)</f>
        <v>CM</v>
      </c>
      <c r="T32" s="43"/>
      <c r="U32" s="44"/>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row>
    <row r="33" spans="1:47" s="26" customFormat="1" ht="14" thickBot="1">
      <c r="A33" s="23"/>
      <c r="B33" s="206"/>
      <c r="C33" s="196"/>
      <c r="D33" s="46">
        <v>9</v>
      </c>
      <c r="E33" s="195" t="str">
        <f>IF('DADOS ESPÉCIES'!D38="", "", 'DADOS ESPÉCIES'!D38)</f>
        <v>RC</v>
      </c>
      <c r="F33" s="187">
        <v>19</v>
      </c>
      <c r="G33" s="195" t="str">
        <f>IF('DADOS ESPÉCIES'!D58="", "", 'DADOS ESPÉCIES'!D58)</f>
        <v>CD</v>
      </c>
      <c r="H33" s="46">
        <v>9</v>
      </c>
      <c r="I33" s="195" t="str">
        <f>IF('DADOS ESPÉCIES'!I38="", "", 'DADOS ESPÉCIES'!I38)</f>
        <v>CM</v>
      </c>
      <c r="J33" s="187">
        <v>19</v>
      </c>
      <c r="K33" s="195" t="str">
        <f>IF('DADOS ESPÉCIES'!I58="", "", 'DADOS ESPÉCIES'!I58)</f>
        <v>CD</v>
      </c>
      <c r="L33" s="46">
        <v>9</v>
      </c>
      <c r="M33" s="195" t="str">
        <f>IF('DADOS ESPÉCIES'!N38="", "", 'DADOS ESPÉCIES'!N38)</f>
        <v>CD</v>
      </c>
      <c r="N33" s="187">
        <v>19</v>
      </c>
      <c r="O33" s="195" t="str">
        <f>IF('DADOS ESPÉCIES'!N58="", "", 'DADOS ESPÉCIES'!N58)</f>
        <v>CD</v>
      </c>
      <c r="P33" s="46">
        <v>9</v>
      </c>
      <c r="Q33" s="195" t="str">
        <f>IF('DADOS ESPÉCIES'!S38="", "", 'DADOS ESPÉCIES'!S38)</f>
        <v>CM</v>
      </c>
      <c r="R33" s="187">
        <v>19</v>
      </c>
      <c r="S33" s="195" t="str">
        <f>IF('DADOS ESPÉCIES'!S58="", "", 'DADOS ESPÉCIES'!S58)</f>
        <v>CM</v>
      </c>
      <c r="T33" s="43"/>
      <c r="U33" s="44"/>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row>
    <row r="34" spans="1:47" s="26" customFormat="1" ht="14" thickBot="1">
      <c r="A34" s="23"/>
      <c r="B34" s="206"/>
      <c r="C34" s="196"/>
      <c r="D34" s="47">
        <v>9.5</v>
      </c>
      <c r="E34" s="195" t="str">
        <f>IF('DADOS ESPÉCIES'!D39="", "", 'DADOS ESPÉCIES'!D39)</f>
        <v>RC</v>
      </c>
      <c r="F34" s="48">
        <v>19.5</v>
      </c>
      <c r="G34" s="195" t="str">
        <f>IF('DADOS ESPÉCIES'!D59="", "", 'DADOS ESPÉCIES'!D59)</f>
        <v>CD</v>
      </c>
      <c r="H34" s="47">
        <v>9.5</v>
      </c>
      <c r="I34" s="195" t="str">
        <f>IF('DADOS ESPÉCIES'!I39="", "", 'DADOS ESPÉCIES'!I39)</f>
        <v>CM</v>
      </c>
      <c r="J34" s="48">
        <v>19.5</v>
      </c>
      <c r="K34" s="195" t="str">
        <f>IF('DADOS ESPÉCIES'!I59="", "", 'DADOS ESPÉCIES'!I59)</f>
        <v>CD</v>
      </c>
      <c r="L34" s="47">
        <v>9.5</v>
      </c>
      <c r="M34" s="195" t="str">
        <f>IF('DADOS ESPÉCIES'!N39="", "", 'DADOS ESPÉCIES'!N39)</f>
        <v>CD</v>
      </c>
      <c r="N34" s="48">
        <v>19.5</v>
      </c>
      <c r="O34" s="195" t="str">
        <f>IF('DADOS ESPÉCIES'!N59="", "", 'DADOS ESPÉCIES'!N59)</f>
        <v>RC</v>
      </c>
      <c r="P34" s="47">
        <v>9.5</v>
      </c>
      <c r="Q34" s="195" t="str">
        <f>IF('DADOS ESPÉCIES'!S39="", "", 'DADOS ESPÉCIES'!S39)</f>
        <v>CD</v>
      </c>
      <c r="R34" s="48">
        <v>19.5</v>
      </c>
      <c r="S34" s="195" t="str">
        <f>IF('DADOS ESPÉCIES'!S59="", "", 'DADOS ESPÉCIES'!S59)</f>
        <v>CM</v>
      </c>
      <c r="T34" s="43"/>
      <c r="U34" s="44"/>
      <c r="V34" s="45"/>
      <c r="W34" s="45"/>
      <c r="X34" s="45"/>
      <c r="Y34" s="45"/>
      <c r="Z34" s="45"/>
      <c r="AA34" s="45"/>
      <c r="AB34" s="45"/>
      <c r="AC34" s="45"/>
      <c r="AD34" s="45"/>
      <c r="AE34" s="45"/>
      <c r="AF34" s="45"/>
      <c r="AG34" s="45"/>
      <c r="AH34" s="45"/>
      <c r="AI34" s="45"/>
      <c r="AJ34" s="45"/>
      <c r="AK34" s="45"/>
      <c r="AL34" s="45"/>
      <c r="AM34" s="45"/>
      <c r="AN34" s="45"/>
      <c r="AO34" s="45"/>
      <c r="AP34" s="45"/>
      <c r="AQ34" s="45"/>
      <c r="AR34" s="45"/>
      <c r="AS34" s="45"/>
      <c r="AT34" s="45"/>
      <c r="AU34" s="45"/>
    </row>
    <row r="35" spans="1:47" s="26" customFormat="1" ht="14.25" customHeight="1">
      <c r="A35" s="23"/>
      <c r="B35" s="49"/>
      <c r="C35" s="50"/>
      <c r="D35" s="225"/>
      <c r="E35" s="50"/>
      <c r="F35" s="50"/>
      <c r="G35" s="312" t="s">
        <v>44</v>
      </c>
      <c r="H35" s="312"/>
      <c r="I35" s="312" t="s">
        <v>45</v>
      </c>
      <c r="J35" s="312"/>
      <c r="K35" s="312" t="s">
        <v>46</v>
      </c>
      <c r="L35" s="312"/>
      <c r="M35" s="312" t="s">
        <v>47</v>
      </c>
      <c r="N35" s="313"/>
      <c r="O35" s="314" t="s">
        <v>48</v>
      </c>
      <c r="P35" s="314"/>
      <c r="Q35" s="314"/>
      <c r="R35" s="314"/>
      <c r="S35" s="27"/>
      <c r="T35" s="27"/>
      <c r="U35" s="28"/>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row>
    <row r="36" spans="1:47" s="26" customFormat="1" ht="15">
      <c r="A36" s="23"/>
      <c r="B36" s="51" t="s">
        <v>49</v>
      </c>
      <c r="C36" s="52"/>
      <c r="D36" s="52"/>
      <c r="E36" s="54"/>
      <c r="F36" s="54"/>
      <c r="G36" s="309">
        <v>0</v>
      </c>
      <c r="H36" s="309"/>
      <c r="I36" s="309">
        <v>0</v>
      </c>
      <c r="J36" s="309"/>
      <c r="K36" s="309">
        <v>0</v>
      </c>
      <c r="L36" s="309"/>
      <c r="M36" s="309">
        <v>0</v>
      </c>
      <c r="N36" s="309"/>
      <c r="O36" s="310">
        <f>AVERAGE(G36:N36)</f>
        <v>0</v>
      </c>
      <c r="P36" s="311"/>
      <c r="Q36" s="186" t="s">
        <v>50</v>
      </c>
      <c r="R36" s="56"/>
      <c r="S36" s="57"/>
      <c r="T36" s="57"/>
      <c r="U36" s="58"/>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row>
    <row r="37" spans="1:47" s="26" customFormat="1" ht="13">
      <c r="A37" s="23"/>
      <c r="B37" s="51" t="s">
        <v>201</v>
      </c>
      <c r="C37" s="52"/>
      <c r="D37" s="53"/>
      <c r="E37" s="36"/>
      <c r="F37" s="36"/>
      <c r="G37" s="309">
        <v>0</v>
      </c>
      <c r="H37" s="309"/>
      <c r="I37" s="309">
        <v>0</v>
      </c>
      <c r="J37" s="309"/>
      <c r="K37" s="309">
        <v>0</v>
      </c>
      <c r="L37" s="309"/>
      <c r="M37" s="309">
        <v>0</v>
      </c>
      <c r="N37" s="309"/>
      <c r="O37" s="310">
        <f>AVERAGE(G37:N37)</f>
        <v>0</v>
      </c>
      <c r="P37" s="311"/>
      <c r="Q37" s="186" t="s">
        <v>50</v>
      </c>
      <c r="R37" s="56"/>
      <c r="S37" s="57"/>
      <c r="T37" s="57"/>
      <c r="U37" s="58"/>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row>
    <row r="38" spans="1:47" s="26" customFormat="1" ht="15">
      <c r="A38" s="23"/>
      <c r="B38" s="59" t="s">
        <v>52</v>
      </c>
      <c r="C38" s="60"/>
      <c r="D38" s="60"/>
      <c r="E38" s="54"/>
      <c r="F38" s="61"/>
      <c r="G38" s="300">
        <f>G36/C55</f>
        <v>0</v>
      </c>
      <c r="H38" s="301"/>
      <c r="I38" s="300">
        <f>I36/E55</f>
        <v>0</v>
      </c>
      <c r="J38" s="301"/>
      <c r="K38" s="300">
        <f>K36/G55</f>
        <v>0</v>
      </c>
      <c r="L38" s="301"/>
      <c r="M38" s="300">
        <f>M36/I55</f>
        <v>0</v>
      </c>
      <c r="N38" s="302"/>
      <c r="O38" s="303">
        <f>(G38+I38+K38+M38)/4</f>
        <v>0</v>
      </c>
      <c r="P38" s="304"/>
      <c r="Q38" s="62"/>
      <c r="R38" s="63"/>
      <c r="S38" s="57"/>
      <c r="T38" s="57"/>
      <c r="U38" s="58"/>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row>
    <row r="39" spans="1:47" s="26" customFormat="1" ht="13">
      <c r="A39" s="23"/>
      <c r="B39" s="59" t="s">
        <v>53</v>
      </c>
      <c r="C39" s="60"/>
      <c r="D39" s="60"/>
      <c r="E39" s="64"/>
      <c r="F39" s="64"/>
      <c r="G39" s="305">
        <f>G37/C55</f>
        <v>0</v>
      </c>
      <c r="H39" s="305"/>
      <c r="I39" s="305">
        <f>I37/E55</f>
        <v>0</v>
      </c>
      <c r="J39" s="305"/>
      <c r="K39" s="305">
        <f>K37/G55</f>
        <v>0</v>
      </c>
      <c r="L39" s="305"/>
      <c r="M39" s="305">
        <f>M37/I55</f>
        <v>0</v>
      </c>
      <c r="N39" s="306"/>
      <c r="O39" s="303">
        <f>(G39+I39+K39+M39)/4</f>
        <v>0</v>
      </c>
      <c r="P39" s="304"/>
      <c r="Q39" s="62"/>
      <c r="R39" s="63"/>
      <c r="S39" s="57"/>
      <c r="T39" s="57"/>
      <c r="U39" s="58"/>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row>
    <row r="40" spans="1:47" s="26" customFormat="1" ht="13">
      <c r="A40" s="23"/>
      <c r="B40" s="59" t="s">
        <v>54</v>
      </c>
      <c r="C40" s="52"/>
      <c r="D40" s="52"/>
      <c r="E40" s="36"/>
      <c r="F40" s="36"/>
      <c r="G40" s="307">
        <f>C57/40</f>
        <v>2.5000000000000001E-2</v>
      </c>
      <c r="H40" s="307"/>
      <c r="I40" s="307">
        <f>E57/40</f>
        <v>2.5000000000000001E-2</v>
      </c>
      <c r="J40" s="307"/>
      <c r="K40" s="307">
        <f>G57/40</f>
        <v>0</v>
      </c>
      <c r="L40" s="307"/>
      <c r="M40" s="307">
        <f>I57/40</f>
        <v>0</v>
      </c>
      <c r="N40" s="307"/>
      <c r="O40" s="308">
        <f>(G40+I40+K40+M40)/4</f>
        <v>1.2500000000000001E-2</v>
      </c>
      <c r="P40" s="304"/>
      <c r="Q40" s="62"/>
      <c r="R40" s="63"/>
      <c r="S40" s="57"/>
      <c r="T40" s="57"/>
      <c r="U40" s="58"/>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row>
    <row r="41" spans="1:47" s="26" customFormat="1" ht="3" customHeight="1" thickBot="1">
      <c r="A41" s="23"/>
      <c r="B41" s="203"/>
      <c r="C41" s="30"/>
      <c r="D41" s="226"/>
      <c r="E41" s="226"/>
      <c r="F41" s="226"/>
      <c r="G41" s="226"/>
      <c r="H41" s="226"/>
      <c r="I41" s="226"/>
      <c r="J41" s="226"/>
      <c r="K41" s="226"/>
      <c r="L41" s="226"/>
      <c r="M41" s="226"/>
      <c r="N41" s="226"/>
      <c r="O41" s="299"/>
      <c r="P41" s="299"/>
      <c r="Q41" s="299"/>
      <c r="R41" s="63"/>
      <c r="S41" s="57"/>
      <c r="T41" s="57"/>
      <c r="U41" s="58"/>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row>
    <row r="42" spans="1:47" s="26" customFormat="1" ht="16.5" customHeight="1" thickBot="1">
      <c r="A42" s="23"/>
      <c r="B42" s="65" t="s">
        <v>55</v>
      </c>
      <c r="C42" s="66"/>
      <c r="D42" s="66"/>
      <c r="E42" s="66"/>
      <c r="F42" s="66"/>
      <c r="G42" s="66"/>
      <c r="H42" s="66"/>
      <c r="I42" s="66"/>
      <c r="J42" s="67"/>
      <c r="K42" s="67"/>
      <c r="L42" s="67"/>
      <c r="M42" s="68"/>
      <c r="N42" s="69"/>
      <c r="O42" s="70"/>
      <c r="P42" s="70"/>
      <c r="Q42" s="71"/>
      <c r="R42" s="72"/>
      <c r="S42" s="73"/>
      <c r="T42" s="57"/>
      <c r="U42" s="58"/>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row>
    <row r="43" spans="1:47" s="26" customFormat="1" ht="3.75" customHeight="1" thickBot="1">
      <c r="A43" s="23"/>
      <c r="B43" s="206"/>
      <c r="C43" s="196"/>
      <c r="D43" s="196"/>
      <c r="E43" s="216"/>
      <c r="F43" s="223"/>
      <c r="G43" s="223"/>
      <c r="H43" s="69"/>
      <c r="I43" s="69"/>
      <c r="J43" s="68"/>
      <c r="K43" s="278"/>
      <c r="L43" s="278"/>
      <c r="M43" s="278"/>
      <c r="N43" s="278"/>
      <c r="O43" s="278"/>
      <c r="P43" s="278"/>
      <c r="Q43" s="278"/>
      <c r="R43" s="76"/>
      <c r="S43" s="77"/>
      <c r="T43" s="57"/>
      <c r="U43" s="58"/>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row>
    <row r="44" spans="1:47" s="26" customFormat="1" ht="14">
      <c r="A44" s="23"/>
      <c r="B44" s="279" t="s">
        <v>56</v>
      </c>
      <c r="C44" s="280"/>
      <c r="D44" s="280"/>
      <c r="E44" s="281"/>
      <c r="F44" s="282"/>
      <c r="G44" s="282"/>
      <c r="H44" s="282"/>
      <c r="I44" s="282"/>
      <c r="J44" s="282"/>
      <c r="K44" s="282"/>
      <c r="L44" s="282"/>
      <c r="M44" s="282"/>
      <c r="N44" s="282"/>
      <c r="O44" s="282"/>
      <c r="P44" s="282"/>
      <c r="Q44" s="282"/>
      <c r="R44" s="282"/>
      <c r="S44" s="283"/>
      <c r="T44" s="78"/>
      <c r="U44" s="58"/>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row>
    <row r="45" spans="1:47" s="26" customFormat="1" ht="15" thickBot="1">
      <c r="A45" s="23"/>
      <c r="B45" s="79"/>
      <c r="C45" s="215"/>
      <c r="D45" s="215"/>
      <c r="E45" s="284"/>
      <c r="F45" s="285"/>
      <c r="G45" s="285"/>
      <c r="H45" s="285"/>
      <c r="I45" s="285"/>
      <c r="J45" s="285"/>
      <c r="K45" s="285"/>
      <c r="L45" s="285"/>
      <c r="M45" s="285"/>
      <c r="N45" s="285"/>
      <c r="O45" s="285"/>
      <c r="P45" s="285"/>
      <c r="Q45" s="285"/>
      <c r="R45" s="285"/>
      <c r="S45" s="286"/>
      <c r="T45" s="78"/>
      <c r="U45" s="58"/>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row>
    <row r="46" spans="1:47" s="26" customFormat="1" ht="8.25" customHeight="1">
      <c r="A46" s="23"/>
      <c r="B46" s="203"/>
      <c r="C46" s="31"/>
      <c r="D46" s="30"/>
      <c r="E46" s="31"/>
      <c r="F46" s="30"/>
      <c r="G46" s="31"/>
      <c r="H46" s="30"/>
      <c r="I46" s="31"/>
      <c r="J46" s="30"/>
      <c r="K46" s="31"/>
      <c r="L46" s="30"/>
      <c r="M46" s="40"/>
      <c r="N46" s="40"/>
      <c r="O46" s="40"/>
      <c r="P46" s="40"/>
      <c r="Q46" s="40"/>
      <c r="R46" s="31"/>
      <c r="S46" s="27"/>
      <c r="T46" s="27"/>
      <c r="U46" s="28"/>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row>
    <row r="47" spans="1:47" s="26" customFormat="1" ht="13">
      <c r="A47" s="23"/>
      <c r="B47" s="81" t="s">
        <v>57</v>
      </c>
      <c r="C47" s="35"/>
      <c r="D47" s="35"/>
      <c r="E47" s="35"/>
      <c r="F47" s="35"/>
      <c r="G47" s="35"/>
      <c r="H47" s="35"/>
      <c r="I47" s="30"/>
      <c r="J47" s="30"/>
      <c r="K47" s="30"/>
      <c r="L47" s="30"/>
      <c r="M47" s="30"/>
      <c r="N47" s="30"/>
      <c r="O47" s="196"/>
      <c r="P47" s="30"/>
      <c r="Q47" s="196"/>
      <c r="R47" s="31"/>
      <c r="S47" s="27"/>
      <c r="T47" s="27"/>
      <c r="U47" s="28"/>
      <c r="V47" s="22"/>
      <c r="W47" s="22"/>
      <c r="X47" s="22"/>
      <c r="Y47" s="22"/>
      <c r="AB47" s="22"/>
      <c r="AC47" s="22"/>
      <c r="AD47" s="22"/>
      <c r="AE47" s="22"/>
      <c r="AF47" s="22"/>
      <c r="AG47" s="22"/>
      <c r="AH47" s="22"/>
      <c r="AI47" s="22"/>
      <c r="AJ47" s="22"/>
      <c r="AK47" s="22"/>
      <c r="AL47" s="22"/>
      <c r="AM47" s="22"/>
      <c r="AN47" s="22"/>
      <c r="AO47" s="22"/>
      <c r="AP47" s="22"/>
      <c r="AQ47" s="22"/>
      <c r="AR47" s="22"/>
      <c r="AS47" s="22"/>
      <c r="AT47" s="22"/>
      <c r="AU47" s="22"/>
    </row>
    <row r="48" spans="1:47" s="86" customFormat="1" ht="2.25" customHeight="1" thickBot="1">
      <c r="A48" s="82"/>
      <c r="B48" s="287"/>
      <c r="C48" s="288"/>
      <c r="D48" s="288"/>
      <c r="E48" s="288"/>
      <c r="F48" s="288"/>
      <c r="G48" s="288"/>
      <c r="H48" s="288"/>
      <c r="I48" s="288"/>
      <c r="J48" s="288"/>
      <c r="K48" s="288"/>
      <c r="L48" s="83"/>
      <c r="M48" s="30"/>
      <c r="N48" s="30"/>
      <c r="O48" s="196"/>
      <c r="P48" s="30"/>
      <c r="Q48" s="196"/>
      <c r="R48" s="31"/>
      <c r="S48" s="27"/>
      <c r="T48" s="27"/>
      <c r="U48" s="84"/>
      <c r="V48" s="85"/>
      <c r="W48" s="85"/>
      <c r="X48" s="85"/>
      <c r="Y48" s="85"/>
      <c r="AB48" s="85"/>
      <c r="AC48" s="85"/>
      <c r="AD48" s="85"/>
      <c r="AE48" s="85"/>
      <c r="AF48" s="85"/>
      <c r="AG48" s="85"/>
      <c r="AH48" s="85"/>
      <c r="AI48" s="85"/>
      <c r="AJ48" s="85"/>
      <c r="AK48" s="85"/>
      <c r="AL48" s="85"/>
      <c r="AM48" s="85"/>
      <c r="AN48" s="85"/>
      <c r="AO48" s="85"/>
      <c r="AP48" s="85"/>
      <c r="AQ48" s="85"/>
      <c r="AR48" s="85"/>
    </row>
    <row r="49" spans="1:47" s="26" customFormat="1" ht="15" customHeight="1" thickBot="1">
      <c r="A49" s="23"/>
      <c r="B49" s="87" t="s">
        <v>58</v>
      </c>
      <c r="C49" s="88"/>
      <c r="D49" s="87" t="s">
        <v>59</v>
      </c>
      <c r="E49" s="88"/>
      <c r="F49" s="87" t="s">
        <v>60</v>
      </c>
      <c r="G49" s="88"/>
      <c r="H49" s="87" t="s">
        <v>61</v>
      </c>
      <c r="I49" s="88"/>
      <c r="J49" s="87" t="s">
        <v>62</v>
      </c>
      <c r="K49" s="88"/>
      <c r="L49" s="89"/>
      <c r="M49" s="289" t="s">
        <v>63</v>
      </c>
      <c r="N49" s="291" t="s">
        <v>64</v>
      </c>
      <c r="O49" s="292"/>
      <c r="P49" s="295" t="s">
        <v>65</v>
      </c>
      <c r="Q49" s="289" t="s">
        <v>66</v>
      </c>
      <c r="R49" s="297" t="s">
        <v>67</v>
      </c>
      <c r="S49" s="289" t="s">
        <v>68</v>
      </c>
      <c r="T49" s="266" t="s">
        <v>69</v>
      </c>
      <c r="U49" s="90"/>
      <c r="V49" s="22"/>
      <c r="W49" s="22"/>
      <c r="X49" s="22"/>
      <c r="Y49" s="22"/>
      <c r="Z49" s="22"/>
      <c r="AA49" s="22"/>
      <c r="AB49" s="22"/>
      <c r="AC49" s="22"/>
      <c r="AD49" s="22"/>
      <c r="AE49" s="22"/>
      <c r="AF49" s="22"/>
      <c r="AG49" s="22"/>
      <c r="AH49" s="22"/>
      <c r="AI49" s="22"/>
      <c r="AJ49" s="22"/>
      <c r="AK49" s="22"/>
      <c r="AL49" s="22"/>
      <c r="AM49" s="22"/>
      <c r="AN49" s="22"/>
      <c r="AO49" s="22"/>
      <c r="AP49" s="22"/>
      <c r="AQ49" s="22"/>
      <c r="AR49" s="22"/>
    </row>
    <row r="50" spans="1:47" ht="13" thickBot="1">
      <c r="B50" s="91" t="s">
        <v>70</v>
      </c>
      <c r="C50" s="92">
        <f>COUNTIF(E15:E34:G15:G34,"ACA")</f>
        <v>0</v>
      </c>
      <c r="D50" s="91" t="s">
        <v>70</v>
      </c>
      <c r="E50" s="92">
        <f>COUNTIF(I15:I34:K15:K34,"ACA")</f>
        <v>0</v>
      </c>
      <c r="F50" s="91" t="s">
        <v>70</v>
      </c>
      <c r="G50" s="92">
        <f>COUNTIF(M15:M34:O15:O34,"ACA")</f>
        <v>0</v>
      </c>
      <c r="H50" s="91" t="s">
        <v>70</v>
      </c>
      <c r="I50" s="92">
        <f>COUNTIF(Q15:Q34:S15:S34,"ACA")</f>
        <v>0</v>
      </c>
      <c r="J50" s="91" t="s">
        <v>70</v>
      </c>
      <c r="K50" s="92">
        <f>SUM(C50:E50:G50:I50)</f>
        <v>0</v>
      </c>
      <c r="L50" s="31"/>
      <c r="M50" s="290"/>
      <c r="N50" s="293"/>
      <c r="O50" s="294"/>
      <c r="P50" s="296"/>
      <c r="Q50" s="290"/>
      <c r="R50" s="298"/>
      <c r="S50" s="290"/>
      <c r="T50" s="267"/>
      <c r="U50" s="90"/>
      <c r="AS50" s="21"/>
      <c r="AT50" s="21"/>
      <c r="AU50" s="21"/>
    </row>
    <row r="51" spans="1:47">
      <c r="B51" s="91" t="s">
        <v>71</v>
      </c>
      <c r="C51" s="92">
        <f>COUNTIF(E15:E34:G15:G34,"ACI")</f>
        <v>6</v>
      </c>
      <c r="D51" s="91" t="s">
        <v>71</v>
      </c>
      <c r="E51" s="92">
        <f>COUNTIF(I15:I34:K15:K34,"ACI")</f>
        <v>0</v>
      </c>
      <c r="F51" s="91" t="s">
        <v>71</v>
      </c>
      <c r="G51" s="92">
        <f>COUNTIF(M15:M34:O15:O34,"ACI")</f>
        <v>0</v>
      </c>
      <c r="H51" s="91" t="s">
        <v>71</v>
      </c>
      <c r="I51" s="92">
        <f>COUNTIF(Q15:Q34:S15:S34,"ACI")</f>
        <v>0</v>
      </c>
      <c r="J51" s="91" t="s">
        <v>71</v>
      </c>
      <c r="K51" s="92">
        <f>SUM(C51:E51:G51:I51)</f>
        <v>6</v>
      </c>
      <c r="L51" s="93" t="s">
        <v>70</v>
      </c>
      <c r="M51" s="94">
        <f>AVERAGE(C50:E50:G50:I50)</f>
        <v>0</v>
      </c>
      <c r="N51" s="268">
        <f>AVERAGE(Q51:R51:S51:T51)</f>
        <v>0</v>
      </c>
      <c r="O51" s="269"/>
      <c r="P51" s="95">
        <f>STDEV(Q51:R51:S51:T51)</f>
        <v>0</v>
      </c>
      <c r="Q51" s="96">
        <f t="shared" ref="Q51:Q64" si="0">C50/40</f>
        <v>0</v>
      </c>
      <c r="R51" s="97">
        <f t="shared" ref="R51:R64" si="1">E50/40</f>
        <v>0</v>
      </c>
      <c r="S51" s="96">
        <f t="shared" ref="S51:S64" si="2">G50/40</f>
        <v>0</v>
      </c>
      <c r="T51" s="98">
        <f t="shared" ref="T51:T64" si="3">I50/40</f>
        <v>0</v>
      </c>
      <c r="U51" s="90"/>
      <c r="AS51" s="21"/>
      <c r="AT51" s="21"/>
      <c r="AU51" s="21"/>
    </row>
    <row r="52" spans="1:47">
      <c r="B52" s="91" t="s">
        <v>72</v>
      </c>
      <c r="C52" s="92">
        <f>COUNTIF(E15:E34:G15:G34,"AF")</f>
        <v>2</v>
      </c>
      <c r="D52" s="91" t="s">
        <v>72</v>
      </c>
      <c r="E52" s="92">
        <f>COUNTIF(I15:I34:K15:K34,"AF")</f>
        <v>2</v>
      </c>
      <c r="F52" s="91" t="s">
        <v>72</v>
      </c>
      <c r="G52" s="92">
        <f>COUNTIF(M15:M34:O15:O34,"AF")</f>
        <v>2</v>
      </c>
      <c r="H52" s="91" t="s">
        <v>72</v>
      </c>
      <c r="I52" s="92">
        <f>COUNTIF(Q15:Q34:S15:S34,"AF")</f>
        <v>2</v>
      </c>
      <c r="J52" s="91" t="s">
        <v>72</v>
      </c>
      <c r="K52" s="92">
        <f>SUM(C52:E52:G52:I52)</f>
        <v>8</v>
      </c>
      <c r="L52" s="99" t="s">
        <v>71</v>
      </c>
      <c r="M52" s="100">
        <f>AVERAGE(C51:E51:G51:I51)</f>
        <v>1.5</v>
      </c>
      <c r="N52" s="270">
        <f>AVERAGE(Q52:R52:S52:T52)</f>
        <v>3.7499999999999999E-2</v>
      </c>
      <c r="O52" s="271"/>
      <c r="P52" s="101">
        <f>STDEV(Q52:R52:S52:T52)</f>
        <v>7.5000000000000011E-2</v>
      </c>
      <c r="Q52" s="102">
        <f t="shared" si="0"/>
        <v>0.15</v>
      </c>
      <c r="R52" s="103">
        <f t="shared" si="1"/>
        <v>0</v>
      </c>
      <c r="S52" s="102">
        <f t="shared" si="2"/>
        <v>0</v>
      </c>
      <c r="T52" s="103">
        <f t="shared" si="3"/>
        <v>0</v>
      </c>
      <c r="U52" s="90"/>
      <c r="AS52" s="21"/>
      <c r="AT52" s="21"/>
      <c r="AU52" s="21"/>
    </row>
    <row r="53" spans="1:47">
      <c r="B53" s="91" t="s">
        <v>171</v>
      </c>
      <c r="C53" s="92">
        <f>COUNTIF(E15:E34:G15:G34,"TURF")</f>
        <v>0</v>
      </c>
      <c r="D53" s="91" t="s">
        <v>171</v>
      </c>
      <c r="E53" s="92">
        <f>COUNTIF(I15:I34:K15:K34,"TURF")</f>
        <v>0</v>
      </c>
      <c r="F53" s="91" t="s">
        <v>171</v>
      </c>
      <c r="G53" s="92">
        <f>COUNTIF(M15:M34:O15:O34,"TURF")</f>
        <v>0</v>
      </c>
      <c r="H53" s="91" t="s">
        <v>171</v>
      </c>
      <c r="I53" s="92">
        <f>COUNTIF(Q15:Q34:S15:S34,"TURF")</f>
        <v>0</v>
      </c>
      <c r="J53" s="91" t="s">
        <v>171</v>
      </c>
      <c r="K53" s="92">
        <f>SUM(C53:E53:G53:I53)</f>
        <v>0</v>
      </c>
      <c r="L53" s="99" t="s">
        <v>72</v>
      </c>
      <c r="M53" s="100">
        <f>AVERAGE(C52:E52:G52:I52)</f>
        <v>2</v>
      </c>
      <c r="N53" s="270">
        <f>AVERAGE(Q53:R53:S53:T53)</f>
        <v>0.05</v>
      </c>
      <c r="O53" s="271"/>
      <c r="P53" s="101">
        <f>STDEV(Q53:R53:S53:T53)</f>
        <v>0</v>
      </c>
      <c r="Q53" s="102">
        <f t="shared" ref="Q53" si="4">C52/40</f>
        <v>0.05</v>
      </c>
      <c r="R53" s="103">
        <f t="shared" ref="R53" si="5">E52/40</f>
        <v>0.05</v>
      </c>
      <c r="S53" s="102">
        <f t="shared" ref="S53" si="6">G52/40</f>
        <v>0.05</v>
      </c>
      <c r="T53" s="103">
        <f t="shared" ref="T53" si="7">I52/40</f>
        <v>0.05</v>
      </c>
      <c r="U53" s="90"/>
      <c r="AS53" s="21"/>
      <c r="AT53" s="21"/>
      <c r="AU53" s="21"/>
    </row>
    <row r="54" spans="1:47">
      <c r="B54" s="91" t="s">
        <v>73</v>
      </c>
      <c r="C54" s="92">
        <f>COUNTIF(E15:E34:G15:G34,"NIA")</f>
        <v>0</v>
      </c>
      <c r="D54" s="91" t="s">
        <v>73</v>
      </c>
      <c r="E54" s="92">
        <f>COUNTIF(I15:I34:K15:K34,"NIA")</f>
        <v>0</v>
      </c>
      <c r="F54" s="91" t="s">
        <v>73</v>
      </c>
      <c r="G54" s="92">
        <f>COUNTIF(M15:M34:O15:O34,"NIA")</f>
        <v>0</v>
      </c>
      <c r="H54" s="91" t="s">
        <v>73</v>
      </c>
      <c r="I54" s="92">
        <f>COUNTIF(Q15:Q34:S15:S34,"NIA")</f>
        <v>0</v>
      </c>
      <c r="J54" s="91" t="s">
        <v>73</v>
      </c>
      <c r="K54" s="92">
        <f>SUM(C54:E54:G54:I54)</f>
        <v>0</v>
      </c>
      <c r="L54" s="99" t="s">
        <v>171</v>
      </c>
      <c r="M54" s="100">
        <f>AVERAGE(C53:E53:G53:I53)</f>
        <v>0</v>
      </c>
      <c r="N54" s="270">
        <f>AVERAGE(Q54:R54:S54:T54)</f>
        <v>0</v>
      </c>
      <c r="O54" s="271"/>
      <c r="P54" s="104">
        <f>STDEV(Q54:R54:S54:T54)</f>
        <v>0</v>
      </c>
      <c r="Q54" s="102">
        <f>C53/40</f>
        <v>0</v>
      </c>
      <c r="R54" s="105">
        <f>E53/40</f>
        <v>0</v>
      </c>
      <c r="S54" s="102">
        <f>G53/40</f>
        <v>0</v>
      </c>
      <c r="T54" s="103">
        <f>I53/40</f>
        <v>0</v>
      </c>
      <c r="U54" s="90"/>
      <c r="AS54" s="21"/>
      <c r="AT54" s="21"/>
      <c r="AU54" s="21"/>
    </row>
    <row r="55" spans="1:47">
      <c r="B55" s="91" t="s">
        <v>37</v>
      </c>
      <c r="C55" s="92">
        <f>COUNTIF(E15:E34:G15:G34,"CD")</f>
        <v>8</v>
      </c>
      <c r="D55" s="91" t="s">
        <v>37</v>
      </c>
      <c r="E55" s="92">
        <f>COUNTIF(I15:I34:K15:K34,"CD")</f>
        <v>14</v>
      </c>
      <c r="F55" s="91" t="s">
        <v>37</v>
      </c>
      <c r="G55" s="92">
        <f>COUNTIF(M15:M34:O15:O34,"CD")</f>
        <v>23</v>
      </c>
      <c r="H55" s="91" t="s">
        <v>37</v>
      </c>
      <c r="I55" s="92">
        <f>COUNTIF(Q15:Q34:S15:S34,"CD")</f>
        <v>15</v>
      </c>
      <c r="J55" s="91" t="s">
        <v>37</v>
      </c>
      <c r="K55" s="92">
        <f>SUM(C55:E55:G55:I55)</f>
        <v>60</v>
      </c>
      <c r="L55" s="99" t="s">
        <v>73</v>
      </c>
      <c r="M55" s="106">
        <f>AVERAGE(C54:E54:G54:I54)</f>
        <v>0</v>
      </c>
      <c r="N55" s="270">
        <f>AVERAGE(Q55:R55:S55:T55)</f>
        <v>0</v>
      </c>
      <c r="O55" s="271"/>
      <c r="P55" s="106">
        <f>STDEV(Q55:R55:S55:T55)</f>
        <v>0</v>
      </c>
      <c r="Q55" s="102">
        <f t="shared" si="0"/>
        <v>0</v>
      </c>
      <c r="R55" s="103">
        <f t="shared" si="1"/>
        <v>0</v>
      </c>
      <c r="S55" s="102">
        <f t="shared" si="2"/>
        <v>0</v>
      </c>
      <c r="T55" s="103">
        <f t="shared" si="3"/>
        <v>0</v>
      </c>
      <c r="U55" s="90"/>
      <c r="AS55" s="21"/>
      <c r="AT55" s="21"/>
      <c r="AU55" s="21"/>
    </row>
    <row r="56" spans="1:47">
      <c r="B56" s="107" t="s">
        <v>31</v>
      </c>
      <c r="C56" s="92">
        <f>COUNTIF(E15:E34:G15:G34,"CM")</f>
        <v>6</v>
      </c>
      <c r="D56" s="107" t="s">
        <v>31</v>
      </c>
      <c r="E56" s="92">
        <f>COUNTIF(I15:I34:K15:K34,"CM")</f>
        <v>15</v>
      </c>
      <c r="F56" s="107" t="s">
        <v>31</v>
      </c>
      <c r="G56" s="92">
        <f>COUNTIF(M15:M34:O15:O34,"CM")</f>
        <v>8</v>
      </c>
      <c r="H56" s="107" t="s">
        <v>31</v>
      </c>
      <c r="I56" s="92">
        <f>COUNTIF(Q15:Q34:S15:S34,"CM")</f>
        <v>12</v>
      </c>
      <c r="J56" s="107" t="s">
        <v>31</v>
      </c>
      <c r="K56" s="92">
        <f>SUM(C56:E56:G56:I56)</f>
        <v>41</v>
      </c>
      <c r="L56" s="99" t="s">
        <v>37</v>
      </c>
      <c r="M56" s="100">
        <f>AVERAGE(C55:E55:G55:I55)</f>
        <v>15</v>
      </c>
      <c r="N56" s="270">
        <f>AVERAGE(Q56:R56:S56:T56)</f>
        <v>0.375</v>
      </c>
      <c r="O56" s="271"/>
      <c r="P56" s="101">
        <f>STDEV(Q56:R56:S56:T56)</f>
        <v>0.15411035007422433</v>
      </c>
      <c r="Q56" s="102">
        <f t="shared" si="0"/>
        <v>0.2</v>
      </c>
      <c r="R56" s="103">
        <f t="shared" si="1"/>
        <v>0.35</v>
      </c>
      <c r="S56" s="102">
        <f t="shared" si="2"/>
        <v>0.57499999999999996</v>
      </c>
      <c r="T56" s="103">
        <f t="shared" si="3"/>
        <v>0.375</v>
      </c>
      <c r="U56" s="90"/>
      <c r="AS56" s="21"/>
      <c r="AT56" s="21"/>
      <c r="AU56" s="21"/>
    </row>
    <row r="57" spans="1:47">
      <c r="B57" s="107" t="s">
        <v>25</v>
      </c>
      <c r="C57" s="92">
        <f>COUNTIF(E15:E34:G15:G34,"CRM")</f>
        <v>1</v>
      </c>
      <c r="D57" s="107" t="s">
        <v>25</v>
      </c>
      <c r="E57" s="92">
        <f>COUNTIF(I15:I34:K15:K34,"CRM")</f>
        <v>1</v>
      </c>
      <c r="F57" s="107" t="s">
        <v>25</v>
      </c>
      <c r="G57" s="92">
        <f>COUNTIF(M15:M34:O15:O34,"CRM")</f>
        <v>0</v>
      </c>
      <c r="H57" s="107" t="s">
        <v>25</v>
      </c>
      <c r="I57" s="92">
        <f>COUNTIF(Q15:Q34:S15:S34,"CRM")</f>
        <v>0</v>
      </c>
      <c r="J57" s="107" t="s">
        <v>25</v>
      </c>
      <c r="K57" s="92">
        <f>SUM(C57:E57:G57:I57)</f>
        <v>2</v>
      </c>
      <c r="L57" s="99" t="s">
        <v>31</v>
      </c>
      <c r="M57" s="100">
        <f>AVERAGE(C56:E56:G56:I56)</f>
        <v>10.25</v>
      </c>
      <c r="N57" s="270">
        <f>AVERAGE(Q57:R57:S57:T57)</f>
        <v>0.25625000000000003</v>
      </c>
      <c r="O57" s="271"/>
      <c r="P57" s="101">
        <f>STDEV(Q57:R57:S57:T57)</f>
        <v>0.10077822185373167</v>
      </c>
      <c r="Q57" s="102">
        <f t="shared" si="0"/>
        <v>0.15</v>
      </c>
      <c r="R57" s="103">
        <f t="shared" si="1"/>
        <v>0.375</v>
      </c>
      <c r="S57" s="102">
        <f t="shared" si="2"/>
        <v>0.2</v>
      </c>
      <c r="T57" s="103">
        <f t="shared" si="3"/>
        <v>0.3</v>
      </c>
      <c r="U57" s="90"/>
      <c r="AS57" s="21"/>
      <c r="AT57" s="21"/>
      <c r="AU57" s="21"/>
    </row>
    <row r="58" spans="1:47">
      <c r="B58" s="91" t="s">
        <v>27</v>
      </c>
      <c r="C58" s="92">
        <f>COUNTIF(E15:E34:G15:G34,"RC")</f>
        <v>17</v>
      </c>
      <c r="D58" s="91" t="s">
        <v>27</v>
      </c>
      <c r="E58" s="92">
        <f>COUNTIF(I15:I34:K15:K34,"RC")</f>
        <v>8</v>
      </c>
      <c r="F58" s="91" t="s">
        <v>27</v>
      </c>
      <c r="G58" s="92">
        <f>COUNTIF(M15:M34:O15:O34,"RC")</f>
        <v>7</v>
      </c>
      <c r="H58" s="91" t="s">
        <v>27</v>
      </c>
      <c r="I58" s="92">
        <f>COUNTIF(Q15:Q34:S15:S34,"RC")</f>
        <v>11</v>
      </c>
      <c r="J58" s="91" t="s">
        <v>27</v>
      </c>
      <c r="K58" s="92">
        <f>SUM(C58:E58:G58:I58)</f>
        <v>43</v>
      </c>
      <c r="L58" s="99" t="s">
        <v>25</v>
      </c>
      <c r="M58" s="100">
        <f>AVERAGE(C57:E57:G57:I57)</f>
        <v>0.5</v>
      </c>
      <c r="N58" s="270">
        <f>AVERAGE(Q58:R58:S58:T58)</f>
        <v>1.2500000000000001E-2</v>
      </c>
      <c r="O58" s="271"/>
      <c r="P58" s="101">
        <f>STDEV(Q58:R58:S58:T58)</f>
        <v>1.4433756729740645E-2</v>
      </c>
      <c r="Q58" s="102">
        <f t="shared" si="0"/>
        <v>2.5000000000000001E-2</v>
      </c>
      <c r="R58" s="103">
        <f t="shared" si="1"/>
        <v>2.5000000000000001E-2</v>
      </c>
      <c r="S58" s="102">
        <f t="shared" si="2"/>
        <v>0</v>
      </c>
      <c r="T58" s="103">
        <f t="shared" si="3"/>
        <v>0</v>
      </c>
      <c r="U58" s="90"/>
      <c r="AS58" s="21"/>
      <c r="AT58" s="21"/>
      <c r="AU58" s="21"/>
    </row>
    <row r="59" spans="1:47">
      <c r="B59" s="91" t="s">
        <v>33</v>
      </c>
      <c r="C59" s="92">
        <f>COUNTIF(E15:E34:G15:G34,"CC")</f>
        <v>0</v>
      </c>
      <c r="D59" s="91" t="s">
        <v>33</v>
      </c>
      <c r="E59" s="92">
        <f>COUNTIF(I15:I34:K15:K34,"CC")</f>
        <v>0</v>
      </c>
      <c r="F59" s="91" t="s">
        <v>33</v>
      </c>
      <c r="G59" s="92">
        <f>COUNTIF(M15:M34:O15:O34,"CC")</f>
        <v>0</v>
      </c>
      <c r="H59" s="91" t="s">
        <v>33</v>
      </c>
      <c r="I59" s="92">
        <f>COUNTIF(Q15:Q34:S15:S34,"CC")</f>
        <v>0</v>
      </c>
      <c r="J59" s="91" t="s">
        <v>33</v>
      </c>
      <c r="K59" s="92">
        <f>SUM(C59:E59:G59:I59)</f>
        <v>0</v>
      </c>
      <c r="L59" s="99" t="s">
        <v>27</v>
      </c>
      <c r="M59" s="100">
        <f>AVERAGE(C58:E58:G58:I58)</f>
        <v>10.75</v>
      </c>
      <c r="N59" s="270">
        <f>AVERAGE(Q59:R59:S59:T59)</f>
        <v>0.26875000000000004</v>
      </c>
      <c r="O59" s="271"/>
      <c r="P59" s="101">
        <f>STDEV(Q59:R59:S59:T59)</f>
        <v>0.11249999999999982</v>
      </c>
      <c r="Q59" s="102">
        <f t="shared" si="0"/>
        <v>0.42499999999999999</v>
      </c>
      <c r="R59" s="103">
        <f t="shared" si="1"/>
        <v>0.2</v>
      </c>
      <c r="S59" s="102">
        <f t="shared" si="2"/>
        <v>0.17499999999999999</v>
      </c>
      <c r="T59" s="103">
        <f t="shared" si="3"/>
        <v>0.27500000000000002</v>
      </c>
      <c r="U59" s="90"/>
      <c r="AS59" s="21"/>
      <c r="AT59" s="21"/>
      <c r="AU59" s="21"/>
    </row>
    <row r="60" spans="1:47">
      <c r="B60" s="107" t="s">
        <v>23</v>
      </c>
      <c r="C60" s="92">
        <f>COUNTIF(E15:E34:G15:G34,"AR")</f>
        <v>0</v>
      </c>
      <c r="D60" s="107" t="s">
        <v>23</v>
      </c>
      <c r="E60" s="92">
        <f>COUNTIF(I15:I34:K15:K34,"AR")</f>
        <v>0</v>
      </c>
      <c r="F60" s="107" t="s">
        <v>23</v>
      </c>
      <c r="G60" s="92">
        <f>COUNTIF(M15:M34:O15:O34,"AR")</f>
        <v>0</v>
      </c>
      <c r="H60" s="107" t="s">
        <v>23</v>
      </c>
      <c r="I60" s="92">
        <f>COUNTIF(Q15:Q34:S15:S34,"AR")</f>
        <v>0</v>
      </c>
      <c r="J60" s="107" t="s">
        <v>23</v>
      </c>
      <c r="K60" s="92">
        <f>SUM(C60:E60:G60:I60)</f>
        <v>0</v>
      </c>
      <c r="L60" s="99" t="s">
        <v>33</v>
      </c>
      <c r="M60" s="100">
        <f>AVERAGE(C59:E59:G59:I59)</f>
        <v>0</v>
      </c>
      <c r="N60" s="270">
        <f>AVERAGE(Q60:R60:S60:T60)</f>
        <v>0</v>
      </c>
      <c r="O60" s="271"/>
      <c r="P60" s="101">
        <f>STDEV(Q60:R60:S60:T60)</f>
        <v>0</v>
      </c>
      <c r="Q60" s="102">
        <f t="shared" si="0"/>
        <v>0</v>
      </c>
      <c r="R60" s="103">
        <f t="shared" si="1"/>
        <v>0</v>
      </c>
      <c r="S60" s="102">
        <f t="shared" si="2"/>
        <v>0</v>
      </c>
      <c r="T60" s="103">
        <f t="shared" si="3"/>
        <v>0</v>
      </c>
      <c r="U60" s="90"/>
      <c r="AS60" s="21"/>
      <c r="AT60" s="21"/>
      <c r="AU60" s="21"/>
    </row>
    <row r="61" spans="1:47">
      <c r="B61" s="91" t="s">
        <v>29</v>
      </c>
      <c r="C61" s="92">
        <f>COUNTIF(E15:E34:G15:G34,"AG")</f>
        <v>0</v>
      </c>
      <c r="D61" s="91" t="s">
        <v>29</v>
      </c>
      <c r="E61" s="92">
        <f>COUNTIF(I15:I34:K15:K34,"AG")</f>
        <v>0</v>
      </c>
      <c r="F61" s="91" t="s">
        <v>29</v>
      </c>
      <c r="G61" s="92">
        <f>COUNTIF(M15:M34:O15:O34,"AG")</f>
        <v>0</v>
      </c>
      <c r="H61" s="91" t="s">
        <v>29</v>
      </c>
      <c r="I61" s="92">
        <f>COUNTIF(Q15:Q34:S15:S34,"AG")</f>
        <v>0</v>
      </c>
      <c r="J61" s="91" t="s">
        <v>29</v>
      </c>
      <c r="K61" s="92">
        <f>SUM(C61:E61:G61:I61)</f>
        <v>0</v>
      </c>
      <c r="L61" s="99" t="s">
        <v>23</v>
      </c>
      <c r="M61" s="100">
        <f>AVERAGE(C60:E60:G60:I60)</f>
        <v>0</v>
      </c>
      <c r="N61" s="270">
        <f>AVERAGE(Q61:R61:S61:T61)</f>
        <v>0</v>
      </c>
      <c r="O61" s="271"/>
      <c r="P61" s="101">
        <f>STDEV(Q61:R61:S61:T61)</f>
        <v>0</v>
      </c>
      <c r="Q61" s="102">
        <f t="shared" si="0"/>
        <v>0</v>
      </c>
      <c r="R61" s="103">
        <f t="shared" si="1"/>
        <v>0</v>
      </c>
      <c r="S61" s="102">
        <f t="shared" si="2"/>
        <v>0</v>
      </c>
      <c r="T61" s="103">
        <f t="shared" si="3"/>
        <v>0</v>
      </c>
      <c r="U61" s="90"/>
      <c r="AS61" s="21"/>
      <c r="AT61" s="21"/>
      <c r="AU61" s="21"/>
    </row>
    <row r="62" spans="1:47">
      <c r="B62" s="91" t="s">
        <v>21</v>
      </c>
      <c r="C62" s="92">
        <f>COUNTIF(E15:E34:G15:G34,"SP")</f>
        <v>0</v>
      </c>
      <c r="D62" s="91" t="s">
        <v>21</v>
      </c>
      <c r="E62" s="92">
        <f>COUNTIF(I15:I34:K15:K34,"SP")</f>
        <v>0</v>
      </c>
      <c r="F62" s="91" t="s">
        <v>21</v>
      </c>
      <c r="G62" s="92">
        <f>COUNTIF(M15:M34:O15:O34,"SP")</f>
        <v>0</v>
      </c>
      <c r="H62" s="91" t="s">
        <v>21</v>
      </c>
      <c r="I62" s="92">
        <f>COUNTIF(Q15:Q34:S15:S34,"SP")</f>
        <v>0</v>
      </c>
      <c r="J62" s="91" t="s">
        <v>21</v>
      </c>
      <c r="K62" s="92">
        <f>SUM(C62:E62:G62:I62)</f>
        <v>0</v>
      </c>
      <c r="L62" s="99" t="s">
        <v>29</v>
      </c>
      <c r="M62" s="100">
        <f>AVERAGE(C61:E61:G61:I61)</f>
        <v>0</v>
      </c>
      <c r="N62" s="270">
        <f>AVERAGE(Q62:R62:S62:T62)</f>
        <v>0</v>
      </c>
      <c r="O62" s="271"/>
      <c r="P62" s="101">
        <f>STDEV(Q62:R62:S62:T62)</f>
        <v>0</v>
      </c>
      <c r="Q62" s="102">
        <f t="shared" si="0"/>
        <v>0</v>
      </c>
      <c r="R62" s="103">
        <f t="shared" si="1"/>
        <v>0</v>
      </c>
      <c r="S62" s="102">
        <f t="shared" si="2"/>
        <v>0</v>
      </c>
      <c r="T62" s="103">
        <f t="shared" si="3"/>
        <v>0</v>
      </c>
      <c r="U62" s="90"/>
      <c r="AS62" s="21"/>
      <c r="AT62" s="21"/>
      <c r="AU62" s="21"/>
    </row>
    <row r="63" spans="1:47" ht="13" thickBot="1">
      <c r="B63" s="91" t="s">
        <v>35</v>
      </c>
      <c r="C63" s="92">
        <f>COUNTIF(E15:E34:G15:G34,"OT")</f>
        <v>0</v>
      </c>
      <c r="D63" s="91" t="s">
        <v>35</v>
      </c>
      <c r="E63" s="92">
        <f>COUNTIF(I15:I34:K15:K34,"OT")</f>
        <v>0</v>
      </c>
      <c r="F63" s="91" t="s">
        <v>35</v>
      </c>
      <c r="G63" s="92">
        <f>COUNTIF(M15:M34:O15:O34,"OT")</f>
        <v>0</v>
      </c>
      <c r="H63" s="91" t="s">
        <v>35</v>
      </c>
      <c r="I63" s="92">
        <f>COUNTIF(Q15:Q34:S15:S34,"OT")</f>
        <v>0</v>
      </c>
      <c r="J63" s="91" t="s">
        <v>35</v>
      </c>
      <c r="K63" s="92">
        <f>SUM(C63:E63:G63:I63)</f>
        <v>0</v>
      </c>
      <c r="L63" s="99" t="s">
        <v>21</v>
      </c>
      <c r="M63" s="100">
        <f>AVERAGE(C62:E62:G62:I62)</f>
        <v>0</v>
      </c>
      <c r="N63" s="270">
        <f>AVERAGE(Q63:R63:S63:T63)</f>
        <v>0</v>
      </c>
      <c r="O63" s="271"/>
      <c r="P63" s="101">
        <f>STDEV(Q63:R63:S63:T63)</f>
        <v>0</v>
      </c>
      <c r="Q63" s="102">
        <f t="shared" si="0"/>
        <v>0</v>
      </c>
      <c r="R63" s="103">
        <f t="shared" si="1"/>
        <v>0</v>
      </c>
      <c r="S63" s="102">
        <f t="shared" si="2"/>
        <v>0</v>
      </c>
      <c r="T63" s="103">
        <f t="shared" si="3"/>
        <v>0</v>
      </c>
      <c r="U63" s="90"/>
      <c r="AS63" s="21"/>
      <c r="AT63" s="21"/>
      <c r="AU63" s="21"/>
    </row>
    <row r="64" spans="1:47" s="22" customFormat="1" ht="13" thickBot="1">
      <c r="A64" s="108"/>
      <c r="B64" s="109" t="s">
        <v>74</v>
      </c>
      <c r="C64" s="110">
        <f>SUM(C50:C63)</f>
        <v>40</v>
      </c>
      <c r="D64" s="109" t="s">
        <v>74</v>
      </c>
      <c r="E64" s="110">
        <f>SUM(E50:E63)</f>
        <v>40</v>
      </c>
      <c r="F64" s="109" t="s">
        <v>74</v>
      </c>
      <c r="G64" s="110">
        <f>SUM(G50:G63)</f>
        <v>40</v>
      </c>
      <c r="H64" s="109" t="s">
        <v>74</v>
      </c>
      <c r="I64" s="110">
        <f>SUM(I50:I63)</f>
        <v>40</v>
      </c>
      <c r="J64" s="273">
        <f>SUM(K50:K63)</f>
        <v>160</v>
      </c>
      <c r="K64" s="274"/>
      <c r="L64" s="99" t="s">
        <v>35</v>
      </c>
      <c r="M64" s="111">
        <f>AVERAGE(C63:E63:G63:I63)</f>
        <v>0</v>
      </c>
      <c r="N64" s="275">
        <f>AVERAGE(Q64:R64:S64:T64)</f>
        <v>0</v>
      </c>
      <c r="O64" s="276"/>
      <c r="P64" s="112">
        <f>STDEV(Q64:R64:S64:T64)</f>
        <v>0</v>
      </c>
      <c r="Q64" s="113">
        <f t="shared" si="0"/>
        <v>0</v>
      </c>
      <c r="R64" s="114">
        <f t="shared" si="1"/>
        <v>0</v>
      </c>
      <c r="S64" s="113">
        <f t="shared" si="2"/>
        <v>0</v>
      </c>
      <c r="T64" s="114">
        <f t="shared" si="3"/>
        <v>0</v>
      </c>
      <c r="U64" s="90"/>
    </row>
    <row r="65" spans="1:21" s="45" customFormat="1" ht="14" thickBot="1">
      <c r="A65" s="115"/>
      <c r="B65" s="227" t="s">
        <v>75</v>
      </c>
      <c r="C65" s="116"/>
      <c r="D65" s="116"/>
      <c r="E65" s="116"/>
      <c r="F65" s="116"/>
      <c r="G65" s="116"/>
      <c r="H65" s="117"/>
      <c r="I65" s="118"/>
      <c r="J65" s="118"/>
      <c r="K65" s="118"/>
      <c r="L65" s="119"/>
      <c r="M65" s="119"/>
      <c r="N65" s="119"/>
      <c r="O65" s="119"/>
      <c r="P65" s="119"/>
      <c r="Q65" s="119"/>
      <c r="R65" s="119"/>
      <c r="S65" s="119"/>
      <c r="T65" s="119"/>
      <c r="U65" s="116"/>
    </row>
    <row r="66" spans="1:21" s="22" customFormat="1" ht="15" customHeight="1">
      <c r="A66" s="108"/>
      <c r="B66" s="120"/>
      <c r="C66" s="120"/>
      <c r="D66" s="121"/>
      <c r="E66" s="121"/>
      <c r="F66" s="121"/>
      <c r="G66" s="121"/>
      <c r="H66" s="121"/>
      <c r="I66" s="121"/>
      <c r="J66" s="121"/>
      <c r="K66" s="121"/>
      <c r="L66" s="121"/>
      <c r="M66" s="277" t="s">
        <v>76</v>
      </c>
      <c r="N66" s="277"/>
      <c r="O66" s="277"/>
      <c r="P66" s="277"/>
      <c r="Q66" s="277"/>
      <c r="R66" s="277"/>
      <c r="S66" s="277"/>
      <c r="T66" s="277"/>
      <c r="U66" s="122"/>
    </row>
    <row r="67" spans="1:21" s="22" customFormat="1">
      <c r="A67" s="108"/>
      <c r="B67" s="123"/>
      <c r="C67" s="123"/>
      <c r="D67" s="123"/>
      <c r="E67" s="123"/>
      <c r="F67" s="123"/>
      <c r="G67" s="123"/>
      <c r="H67" s="123"/>
      <c r="I67" s="123"/>
      <c r="J67" s="123"/>
      <c r="K67" s="123"/>
      <c r="L67" s="123"/>
      <c r="M67" s="123"/>
      <c r="N67" s="123"/>
      <c r="O67" s="123"/>
      <c r="P67" s="123"/>
      <c r="Q67" s="123"/>
      <c r="R67" s="123"/>
      <c r="S67" s="123"/>
      <c r="T67" s="123"/>
      <c r="U67" s="123"/>
    </row>
    <row r="68" spans="1:21" s="22" customFormat="1" ht="13">
      <c r="A68" s="108"/>
      <c r="B68" s="272"/>
      <c r="C68" s="272"/>
      <c r="D68" s="272"/>
      <c r="E68" s="272"/>
      <c r="F68" s="272"/>
      <c r="G68" s="272"/>
      <c r="H68" s="272"/>
      <c r="I68" s="272"/>
      <c r="J68" s="272"/>
      <c r="K68" s="272"/>
      <c r="L68" s="272"/>
      <c r="M68" s="123"/>
      <c r="N68" s="123"/>
      <c r="O68" s="123"/>
      <c r="P68" s="123"/>
      <c r="Q68" s="123"/>
      <c r="R68" s="123"/>
      <c r="S68" s="123"/>
      <c r="T68" s="123"/>
      <c r="U68" s="123"/>
    </row>
    <row r="69" spans="1:21" s="22" customFormat="1">
      <c r="A69" s="108"/>
    </row>
    <row r="70" spans="1:21" s="22" customFormat="1">
      <c r="A70" s="108"/>
    </row>
    <row r="71" spans="1:21" s="22" customFormat="1">
      <c r="A71" s="108"/>
    </row>
    <row r="72" spans="1:21" s="22" customFormat="1">
      <c r="A72" s="108"/>
    </row>
    <row r="73" spans="1:21" s="22" customFormat="1">
      <c r="A73" s="108"/>
    </row>
    <row r="74" spans="1:21" s="22" customFormat="1">
      <c r="A74" s="108"/>
    </row>
  </sheetData>
  <sheetProtection password="C446" sheet="1" objects="1" scenarios="1"/>
  <mergeCells count="84">
    <mergeCell ref="D4:F4"/>
    <mergeCell ref="G4:K4"/>
    <mergeCell ref="L4:N4"/>
    <mergeCell ref="O4:S4"/>
    <mergeCell ref="D5:F5"/>
    <mergeCell ref="G5:K5"/>
    <mergeCell ref="L5:N6"/>
    <mergeCell ref="O5:S5"/>
    <mergeCell ref="D6:F6"/>
    <mergeCell ref="G6:K6"/>
    <mergeCell ref="O6:S6"/>
    <mergeCell ref="B2:D2"/>
    <mergeCell ref="E2:I2"/>
    <mergeCell ref="J2:L2"/>
    <mergeCell ref="M2:Q2"/>
    <mergeCell ref="D3:F3"/>
    <mergeCell ref="G3:K3"/>
    <mergeCell ref="L3:N3"/>
    <mergeCell ref="O3:S3"/>
    <mergeCell ref="D14:G14"/>
    <mergeCell ref="H14:K14"/>
    <mergeCell ref="L14:O14"/>
    <mergeCell ref="P14:S14"/>
    <mergeCell ref="D8:S8"/>
    <mergeCell ref="G35:H35"/>
    <mergeCell ref="I35:J35"/>
    <mergeCell ref="K35:L35"/>
    <mergeCell ref="M35:N35"/>
    <mergeCell ref="O35:R35"/>
    <mergeCell ref="G37:H37"/>
    <mergeCell ref="I37:J37"/>
    <mergeCell ref="K37:L37"/>
    <mergeCell ref="M37:N37"/>
    <mergeCell ref="O37:P37"/>
    <mergeCell ref="G36:H36"/>
    <mergeCell ref="I36:J36"/>
    <mergeCell ref="K36:L36"/>
    <mergeCell ref="M36:N36"/>
    <mergeCell ref="O36:P36"/>
    <mergeCell ref="O41:Q41"/>
    <mergeCell ref="G38:H38"/>
    <mergeCell ref="I38:J38"/>
    <mergeCell ref="K38:L38"/>
    <mergeCell ref="M38:N38"/>
    <mergeCell ref="O38:P38"/>
    <mergeCell ref="G39:H39"/>
    <mergeCell ref="I39:J39"/>
    <mergeCell ref="K39:L39"/>
    <mergeCell ref="M39:N39"/>
    <mergeCell ref="O39:P39"/>
    <mergeCell ref="G40:H40"/>
    <mergeCell ref="I40:J40"/>
    <mergeCell ref="K40:L40"/>
    <mergeCell ref="M40:N40"/>
    <mergeCell ref="O40:P40"/>
    <mergeCell ref="N55:O55"/>
    <mergeCell ref="K43:Q43"/>
    <mergeCell ref="B44:D44"/>
    <mergeCell ref="E44:S44"/>
    <mergeCell ref="E45:S45"/>
    <mergeCell ref="B48:K48"/>
    <mergeCell ref="M49:M50"/>
    <mergeCell ref="N49:O50"/>
    <mergeCell ref="P49:P50"/>
    <mergeCell ref="Q49:Q50"/>
    <mergeCell ref="R49:R50"/>
    <mergeCell ref="S49:S50"/>
    <mergeCell ref="N53:O53"/>
    <mergeCell ref="T49:T50"/>
    <mergeCell ref="N51:O51"/>
    <mergeCell ref="N52:O52"/>
    <mergeCell ref="N54:O54"/>
    <mergeCell ref="B68:L68"/>
    <mergeCell ref="N56:O56"/>
    <mergeCell ref="N57:O57"/>
    <mergeCell ref="N58:O58"/>
    <mergeCell ref="N59:O59"/>
    <mergeCell ref="N60:O60"/>
    <mergeCell ref="N61:O61"/>
    <mergeCell ref="N62:O62"/>
    <mergeCell ref="N63:O63"/>
    <mergeCell ref="J64:K64"/>
    <mergeCell ref="N64:O64"/>
    <mergeCell ref="M66:T66"/>
  </mergeCells>
  <pageMargins left="0.31496062992125984" right="0.31496062992125984" top="0.62992125984251968" bottom="0.51181102362204722" header="0.31496062992125984" footer="0.31496062992125984"/>
  <headerFooter>
    <oddHeader>&amp;CReef Check Brasil - substrato</oddHeader>
    <oddFooter>Página &amp;P de &amp;N</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3073" r:id="rId3" name="Option Button 1">
              <controlPr defaultSize="0" autoFill="0" autoLine="0" autoPict="0">
                <anchor moveWithCells="1">
                  <from>
                    <xdr:col>8</xdr:col>
                    <xdr:colOff>152400</xdr:colOff>
                    <xdr:row>41</xdr:row>
                    <xdr:rowOff>0</xdr:rowOff>
                  </from>
                  <to>
                    <xdr:col>10</xdr:col>
                    <xdr:colOff>203200</xdr:colOff>
                    <xdr:row>42</xdr:row>
                    <xdr:rowOff>12700</xdr:rowOff>
                  </to>
                </anchor>
              </controlPr>
            </control>
          </mc:Choice>
          <mc:Fallback/>
        </mc:AlternateContent>
        <mc:AlternateContent xmlns:mc="http://schemas.openxmlformats.org/markup-compatibility/2006">
          <mc:Choice Requires="x14">
            <control shapeId="3074" r:id="rId4" name="Option Button 2">
              <controlPr defaultSize="0" autoFill="0" autoLine="0" autoPict="0">
                <anchor moveWithCells="1">
                  <from>
                    <xdr:col>11</xdr:col>
                    <xdr:colOff>88900</xdr:colOff>
                    <xdr:row>41</xdr:row>
                    <xdr:rowOff>0</xdr:rowOff>
                  </from>
                  <to>
                    <xdr:col>13</xdr:col>
                    <xdr:colOff>203200</xdr:colOff>
                    <xdr:row>42</xdr:row>
                    <xdr:rowOff>12700</xdr:rowOff>
                  </to>
                </anchor>
              </controlPr>
            </control>
          </mc:Choice>
          <mc:Fallback/>
        </mc:AlternateContent>
        <mc:AlternateContent xmlns:mc="http://schemas.openxmlformats.org/markup-compatibility/2006">
          <mc:Choice Requires="x14">
            <control shapeId="3075" r:id="rId5" name="Option Button 3">
              <controlPr defaultSize="0" autoFill="0" autoLine="0" autoPict="0">
                <anchor moveWithCells="1">
                  <from>
                    <xdr:col>12</xdr:col>
                    <xdr:colOff>254000</xdr:colOff>
                    <xdr:row>41</xdr:row>
                    <xdr:rowOff>0</xdr:rowOff>
                  </from>
                  <to>
                    <xdr:col>15</xdr:col>
                    <xdr:colOff>63500</xdr:colOff>
                    <xdr:row>42</xdr:row>
                    <xdr:rowOff>12700</xdr:rowOff>
                  </to>
                </anchor>
              </controlPr>
            </control>
          </mc:Choice>
          <mc:Fallback/>
        </mc:AlternateContent>
        <mc:AlternateContent xmlns:mc="http://schemas.openxmlformats.org/markup-compatibility/2006">
          <mc:Choice Requires="x14">
            <control shapeId="3076" r:id="rId6" name="Option Button 4">
              <controlPr defaultSize="0" autoFill="0" autoLine="0" autoPict="0">
                <anchor moveWithCells="1">
                  <from>
                    <xdr:col>14</xdr:col>
                    <xdr:colOff>342900</xdr:colOff>
                    <xdr:row>41</xdr:row>
                    <xdr:rowOff>0</xdr:rowOff>
                  </from>
                  <to>
                    <xdr:col>16</xdr:col>
                    <xdr:colOff>25400</xdr:colOff>
                    <xdr:row>42</xdr:row>
                    <xdr:rowOff>12700</xdr:rowOff>
                  </to>
                </anchor>
              </controlPr>
            </control>
          </mc:Choice>
          <mc:Fallback/>
        </mc:AlternateContent>
      </controls>
    </mc:Choice>
    <mc:Fallback/>
  </mc:AlternateContent>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49"/>
  <sheetViews>
    <sheetView tabSelected="1" topLeftCell="A4" zoomScale="110" zoomScaleNormal="110" zoomScalePageLayoutView="110" workbookViewId="0">
      <selection activeCell="Q27" sqref="Q26:Q27"/>
    </sheetView>
  </sheetViews>
  <sheetFormatPr baseColWidth="10" defaultColWidth="10.83203125" defaultRowHeight="12" x14ac:dyDescent="0"/>
  <cols>
    <col min="1" max="1" width="1.5" style="123" customWidth="1"/>
    <col min="2" max="2" width="25.1640625" style="123" bestFit="1" customWidth="1"/>
    <col min="3" max="3" width="14.1640625" style="123" customWidth="1"/>
    <col min="4" max="256" width="10.83203125" style="123"/>
    <col min="257" max="257" width="1.5" style="123" customWidth="1"/>
    <col min="258" max="258" width="25.1640625" style="123" bestFit="1" customWidth="1"/>
    <col min="259" max="259" width="14.1640625" style="123" customWidth="1"/>
    <col min="260" max="512" width="10.83203125" style="123"/>
    <col min="513" max="513" width="1.5" style="123" customWidth="1"/>
    <col min="514" max="514" width="25.1640625" style="123" bestFit="1" customWidth="1"/>
    <col min="515" max="515" width="14.1640625" style="123" customWidth="1"/>
    <col min="516" max="768" width="10.83203125" style="123"/>
    <col min="769" max="769" width="1.5" style="123" customWidth="1"/>
    <col min="770" max="770" width="25.1640625" style="123" bestFit="1" customWidth="1"/>
    <col min="771" max="771" width="14.1640625" style="123" customWidth="1"/>
    <col min="772" max="1024" width="10.83203125" style="123"/>
    <col min="1025" max="1025" width="1.5" style="123" customWidth="1"/>
    <col min="1026" max="1026" width="25.1640625" style="123" bestFit="1" customWidth="1"/>
    <col min="1027" max="1027" width="14.1640625" style="123" customWidth="1"/>
    <col min="1028" max="1280" width="10.83203125" style="123"/>
    <col min="1281" max="1281" width="1.5" style="123" customWidth="1"/>
    <col min="1282" max="1282" width="25.1640625" style="123" bestFit="1" customWidth="1"/>
    <col min="1283" max="1283" width="14.1640625" style="123" customWidth="1"/>
    <col min="1284" max="1536" width="10.83203125" style="123"/>
    <col min="1537" max="1537" width="1.5" style="123" customWidth="1"/>
    <col min="1538" max="1538" width="25.1640625" style="123" bestFit="1" customWidth="1"/>
    <col min="1539" max="1539" width="14.1640625" style="123" customWidth="1"/>
    <col min="1540" max="1792" width="10.83203125" style="123"/>
    <col min="1793" max="1793" width="1.5" style="123" customWidth="1"/>
    <col min="1794" max="1794" width="25.1640625" style="123" bestFit="1" customWidth="1"/>
    <col min="1795" max="1795" width="14.1640625" style="123" customWidth="1"/>
    <col min="1796" max="2048" width="10.83203125" style="123"/>
    <col min="2049" max="2049" width="1.5" style="123" customWidth="1"/>
    <col min="2050" max="2050" width="25.1640625" style="123" bestFit="1" customWidth="1"/>
    <col min="2051" max="2051" width="14.1640625" style="123" customWidth="1"/>
    <col min="2052" max="2304" width="10.83203125" style="123"/>
    <col min="2305" max="2305" width="1.5" style="123" customWidth="1"/>
    <col min="2306" max="2306" width="25.1640625" style="123" bestFit="1" customWidth="1"/>
    <col min="2307" max="2307" width="14.1640625" style="123" customWidth="1"/>
    <col min="2308" max="2560" width="10.83203125" style="123"/>
    <col min="2561" max="2561" width="1.5" style="123" customWidth="1"/>
    <col min="2562" max="2562" width="25.1640625" style="123" bestFit="1" customWidth="1"/>
    <col min="2563" max="2563" width="14.1640625" style="123" customWidth="1"/>
    <col min="2564" max="2816" width="10.83203125" style="123"/>
    <col min="2817" max="2817" width="1.5" style="123" customWidth="1"/>
    <col min="2818" max="2818" width="25.1640625" style="123" bestFit="1" customWidth="1"/>
    <col min="2819" max="2819" width="14.1640625" style="123" customWidth="1"/>
    <col min="2820" max="3072" width="10.83203125" style="123"/>
    <col min="3073" max="3073" width="1.5" style="123" customWidth="1"/>
    <col min="3074" max="3074" width="25.1640625" style="123" bestFit="1" customWidth="1"/>
    <col min="3075" max="3075" width="14.1640625" style="123" customWidth="1"/>
    <col min="3076" max="3328" width="10.83203125" style="123"/>
    <col min="3329" max="3329" width="1.5" style="123" customWidth="1"/>
    <col min="3330" max="3330" width="25.1640625" style="123" bestFit="1" customWidth="1"/>
    <col min="3331" max="3331" width="14.1640625" style="123" customWidth="1"/>
    <col min="3332" max="3584" width="10.83203125" style="123"/>
    <col min="3585" max="3585" width="1.5" style="123" customWidth="1"/>
    <col min="3586" max="3586" width="25.1640625" style="123" bestFit="1" customWidth="1"/>
    <col min="3587" max="3587" width="14.1640625" style="123" customWidth="1"/>
    <col min="3588" max="3840" width="10.83203125" style="123"/>
    <col min="3841" max="3841" width="1.5" style="123" customWidth="1"/>
    <col min="3842" max="3842" width="25.1640625" style="123" bestFit="1" customWidth="1"/>
    <col min="3843" max="3843" width="14.1640625" style="123" customWidth="1"/>
    <col min="3844" max="4096" width="10.83203125" style="123"/>
    <col min="4097" max="4097" width="1.5" style="123" customWidth="1"/>
    <col min="4098" max="4098" width="25.1640625" style="123" bestFit="1" customWidth="1"/>
    <col min="4099" max="4099" width="14.1640625" style="123" customWidth="1"/>
    <col min="4100" max="4352" width="10.83203125" style="123"/>
    <col min="4353" max="4353" width="1.5" style="123" customWidth="1"/>
    <col min="4354" max="4354" width="25.1640625" style="123" bestFit="1" customWidth="1"/>
    <col min="4355" max="4355" width="14.1640625" style="123" customWidth="1"/>
    <col min="4356" max="4608" width="10.83203125" style="123"/>
    <col min="4609" max="4609" width="1.5" style="123" customWidth="1"/>
    <col min="4610" max="4610" width="25.1640625" style="123" bestFit="1" customWidth="1"/>
    <col min="4611" max="4611" width="14.1640625" style="123" customWidth="1"/>
    <col min="4612" max="4864" width="10.83203125" style="123"/>
    <col min="4865" max="4865" width="1.5" style="123" customWidth="1"/>
    <col min="4866" max="4866" width="25.1640625" style="123" bestFit="1" customWidth="1"/>
    <col min="4867" max="4867" width="14.1640625" style="123" customWidth="1"/>
    <col min="4868" max="5120" width="10.83203125" style="123"/>
    <col min="5121" max="5121" width="1.5" style="123" customWidth="1"/>
    <col min="5122" max="5122" width="25.1640625" style="123" bestFit="1" customWidth="1"/>
    <col min="5123" max="5123" width="14.1640625" style="123" customWidth="1"/>
    <col min="5124" max="5376" width="10.83203125" style="123"/>
    <col min="5377" max="5377" width="1.5" style="123" customWidth="1"/>
    <col min="5378" max="5378" width="25.1640625" style="123" bestFit="1" customWidth="1"/>
    <col min="5379" max="5379" width="14.1640625" style="123" customWidth="1"/>
    <col min="5380" max="5632" width="10.83203125" style="123"/>
    <col min="5633" max="5633" width="1.5" style="123" customWidth="1"/>
    <col min="5634" max="5634" width="25.1640625" style="123" bestFit="1" customWidth="1"/>
    <col min="5635" max="5635" width="14.1640625" style="123" customWidth="1"/>
    <col min="5636" max="5888" width="10.83203125" style="123"/>
    <col min="5889" max="5889" width="1.5" style="123" customWidth="1"/>
    <col min="5890" max="5890" width="25.1640625" style="123" bestFit="1" customWidth="1"/>
    <col min="5891" max="5891" width="14.1640625" style="123" customWidth="1"/>
    <col min="5892" max="6144" width="10.83203125" style="123"/>
    <col min="6145" max="6145" width="1.5" style="123" customWidth="1"/>
    <col min="6146" max="6146" width="25.1640625" style="123" bestFit="1" customWidth="1"/>
    <col min="6147" max="6147" width="14.1640625" style="123" customWidth="1"/>
    <col min="6148" max="6400" width="10.83203125" style="123"/>
    <col min="6401" max="6401" width="1.5" style="123" customWidth="1"/>
    <col min="6402" max="6402" width="25.1640625" style="123" bestFit="1" customWidth="1"/>
    <col min="6403" max="6403" width="14.1640625" style="123" customWidth="1"/>
    <col min="6404" max="6656" width="10.83203125" style="123"/>
    <col min="6657" max="6657" width="1.5" style="123" customWidth="1"/>
    <col min="6658" max="6658" width="25.1640625" style="123" bestFit="1" customWidth="1"/>
    <col min="6659" max="6659" width="14.1640625" style="123" customWidth="1"/>
    <col min="6660" max="6912" width="10.83203125" style="123"/>
    <col min="6913" max="6913" width="1.5" style="123" customWidth="1"/>
    <col min="6914" max="6914" width="25.1640625" style="123" bestFit="1" customWidth="1"/>
    <col min="6915" max="6915" width="14.1640625" style="123" customWidth="1"/>
    <col min="6916" max="7168" width="10.83203125" style="123"/>
    <col min="7169" max="7169" width="1.5" style="123" customWidth="1"/>
    <col min="7170" max="7170" width="25.1640625" style="123" bestFit="1" customWidth="1"/>
    <col min="7171" max="7171" width="14.1640625" style="123" customWidth="1"/>
    <col min="7172" max="7424" width="10.83203125" style="123"/>
    <col min="7425" max="7425" width="1.5" style="123" customWidth="1"/>
    <col min="7426" max="7426" width="25.1640625" style="123" bestFit="1" customWidth="1"/>
    <col min="7427" max="7427" width="14.1640625" style="123" customWidth="1"/>
    <col min="7428" max="7680" width="10.83203125" style="123"/>
    <col min="7681" max="7681" width="1.5" style="123" customWidth="1"/>
    <col min="7682" max="7682" width="25.1640625" style="123" bestFit="1" customWidth="1"/>
    <col min="7683" max="7683" width="14.1640625" style="123" customWidth="1"/>
    <col min="7684" max="7936" width="10.83203125" style="123"/>
    <col min="7937" max="7937" width="1.5" style="123" customWidth="1"/>
    <col min="7938" max="7938" width="25.1640625" style="123" bestFit="1" customWidth="1"/>
    <col min="7939" max="7939" width="14.1640625" style="123" customWidth="1"/>
    <col min="7940" max="8192" width="10.83203125" style="123"/>
    <col min="8193" max="8193" width="1.5" style="123" customWidth="1"/>
    <col min="8194" max="8194" width="25.1640625" style="123" bestFit="1" customWidth="1"/>
    <col min="8195" max="8195" width="14.1640625" style="123" customWidth="1"/>
    <col min="8196" max="8448" width="10.83203125" style="123"/>
    <col min="8449" max="8449" width="1.5" style="123" customWidth="1"/>
    <col min="8450" max="8450" width="25.1640625" style="123" bestFit="1" customWidth="1"/>
    <col min="8451" max="8451" width="14.1640625" style="123" customWidth="1"/>
    <col min="8452" max="8704" width="10.83203125" style="123"/>
    <col min="8705" max="8705" width="1.5" style="123" customWidth="1"/>
    <col min="8706" max="8706" width="25.1640625" style="123" bestFit="1" customWidth="1"/>
    <col min="8707" max="8707" width="14.1640625" style="123" customWidth="1"/>
    <col min="8708" max="8960" width="10.83203125" style="123"/>
    <col min="8961" max="8961" width="1.5" style="123" customWidth="1"/>
    <col min="8962" max="8962" width="25.1640625" style="123" bestFit="1" customWidth="1"/>
    <col min="8963" max="8963" width="14.1640625" style="123" customWidth="1"/>
    <col min="8964" max="9216" width="10.83203125" style="123"/>
    <col min="9217" max="9217" width="1.5" style="123" customWidth="1"/>
    <col min="9218" max="9218" width="25.1640625" style="123" bestFit="1" customWidth="1"/>
    <col min="9219" max="9219" width="14.1640625" style="123" customWidth="1"/>
    <col min="9220" max="9472" width="10.83203125" style="123"/>
    <col min="9473" max="9473" width="1.5" style="123" customWidth="1"/>
    <col min="9474" max="9474" width="25.1640625" style="123" bestFit="1" customWidth="1"/>
    <col min="9475" max="9475" width="14.1640625" style="123" customWidth="1"/>
    <col min="9476" max="9728" width="10.83203125" style="123"/>
    <col min="9729" max="9729" width="1.5" style="123" customWidth="1"/>
    <col min="9730" max="9730" width="25.1640625" style="123" bestFit="1" customWidth="1"/>
    <col min="9731" max="9731" width="14.1640625" style="123" customWidth="1"/>
    <col min="9732" max="9984" width="10.83203125" style="123"/>
    <col min="9985" max="9985" width="1.5" style="123" customWidth="1"/>
    <col min="9986" max="9986" width="25.1640625" style="123" bestFit="1" customWidth="1"/>
    <col min="9987" max="9987" width="14.1640625" style="123" customWidth="1"/>
    <col min="9988" max="10240" width="10.83203125" style="123"/>
    <col min="10241" max="10241" width="1.5" style="123" customWidth="1"/>
    <col min="10242" max="10242" width="25.1640625" style="123" bestFit="1" customWidth="1"/>
    <col min="10243" max="10243" width="14.1640625" style="123" customWidth="1"/>
    <col min="10244" max="10496" width="10.83203125" style="123"/>
    <col min="10497" max="10497" width="1.5" style="123" customWidth="1"/>
    <col min="10498" max="10498" width="25.1640625" style="123" bestFit="1" customWidth="1"/>
    <col min="10499" max="10499" width="14.1640625" style="123" customWidth="1"/>
    <col min="10500" max="10752" width="10.83203125" style="123"/>
    <col min="10753" max="10753" width="1.5" style="123" customWidth="1"/>
    <col min="10754" max="10754" width="25.1640625" style="123" bestFit="1" customWidth="1"/>
    <col min="10755" max="10755" width="14.1640625" style="123" customWidth="1"/>
    <col min="10756" max="11008" width="10.83203125" style="123"/>
    <col min="11009" max="11009" width="1.5" style="123" customWidth="1"/>
    <col min="11010" max="11010" width="25.1640625" style="123" bestFit="1" customWidth="1"/>
    <col min="11011" max="11011" width="14.1640625" style="123" customWidth="1"/>
    <col min="11012" max="11264" width="10.83203125" style="123"/>
    <col min="11265" max="11265" width="1.5" style="123" customWidth="1"/>
    <col min="11266" max="11266" width="25.1640625" style="123" bestFit="1" customWidth="1"/>
    <col min="11267" max="11267" width="14.1640625" style="123" customWidth="1"/>
    <col min="11268" max="11520" width="10.83203125" style="123"/>
    <col min="11521" max="11521" width="1.5" style="123" customWidth="1"/>
    <col min="11522" max="11522" width="25.1640625" style="123" bestFit="1" customWidth="1"/>
    <col min="11523" max="11523" width="14.1640625" style="123" customWidth="1"/>
    <col min="11524" max="11776" width="10.83203125" style="123"/>
    <col min="11777" max="11777" width="1.5" style="123" customWidth="1"/>
    <col min="11778" max="11778" width="25.1640625" style="123" bestFit="1" customWidth="1"/>
    <col min="11779" max="11779" width="14.1640625" style="123" customWidth="1"/>
    <col min="11780" max="12032" width="10.83203125" style="123"/>
    <col min="12033" max="12033" width="1.5" style="123" customWidth="1"/>
    <col min="12034" max="12034" width="25.1640625" style="123" bestFit="1" customWidth="1"/>
    <col min="12035" max="12035" width="14.1640625" style="123" customWidth="1"/>
    <col min="12036" max="12288" width="10.83203125" style="123"/>
    <col min="12289" max="12289" width="1.5" style="123" customWidth="1"/>
    <col min="12290" max="12290" width="25.1640625" style="123" bestFit="1" customWidth="1"/>
    <col min="12291" max="12291" width="14.1640625" style="123" customWidth="1"/>
    <col min="12292" max="12544" width="10.83203125" style="123"/>
    <col min="12545" max="12545" width="1.5" style="123" customWidth="1"/>
    <col min="12546" max="12546" width="25.1640625" style="123" bestFit="1" customWidth="1"/>
    <col min="12547" max="12547" width="14.1640625" style="123" customWidth="1"/>
    <col min="12548" max="12800" width="10.83203125" style="123"/>
    <col min="12801" max="12801" width="1.5" style="123" customWidth="1"/>
    <col min="12802" max="12802" width="25.1640625" style="123" bestFit="1" customWidth="1"/>
    <col min="12803" max="12803" width="14.1640625" style="123" customWidth="1"/>
    <col min="12804" max="13056" width="10.83203125" style="123"/>
    <col min="13057" max="13057" width="1.5" style="123" customWidth="1"/>
    <col min="13058" max="13058" width="25.1640625" style="123" bestFit="1" customWidth="1"/>
    <col min="13059" max="13059" width="14.1640625" style="123" customWidth="1"/>
    <col min="13060" max="13312" width="10.83203125" style="123"/>
    <col min="13313" max="13313" width="1.5" style="123" customWidth="1"/>
    <col min="13314" max="13314" width="25.1640625" style="123" bestFit="1" customWidth="1"/>
    <col min="13315" max="13315" width="14.1640625" style="123" customWidth="1"/>
    <col min="13316" max="13568" width="10.83203125" style="123"/>
    <col min="13569" max="13569" width="1.5" style="123" customWidth="1"/>
    <col min="13570" max="13570" width="25.1640625" style="123" bestFit="1" customWidth="1"/>
    <col min="13571" max="13571" width="14.1640625" style="123" customWidth="1"/>
    <col min="13572" max="13824" width="10.83203125" style="123"/>
    <col min="13825" max="13825" width="1.5" style="123" customWidth="1"/>
    <col min="13826" max="13826" width="25.1640625" style="123" bestFit="1" customWidth="1"/>
    <col min="13827" max="13827" width="14.1640625" style="123" customWidth="1"/>
    <col min="13828" max="14080" width="10.83203125" style="123"/>
    <col min="14081" max="14081" width="1.5" style="123" customWidth="1"/>
    <col min="14082" max="14082" width="25.1640625" style="123" bestFit="1" customWidth="1"/>
    <col min="14083" max="14083" width="14.1640625" style="123" customWidth="1"/>
    <col min="14084" max="14336" width="10.83203125" style="123"/>
    <col min="14337" max="14337" width="1.5" style="123" customWidth="1"/>
    <col min="14338" max="14338" width="25.1640625" style="123" bestFit="1" customWidth="1"/>
    <col min="14339" max="14339" width="14.1640625" style="123" customWidth="1"/>
    <col min="14340" max="14592" width="10.83203125" style="123"/>
    <col min="14593" max="14593" width="1.5" style="123" customWidth="1"/>
    <col min="14594" max="14594" width="25.1640625" style="123" bestFit="1" customWidth="1"/>
    <col min="14595" max="14595" width="14.1640625" style="123" customWidth="1"/>
    <col min="14596" max="14848" width="10.83203125" style="123"/>
    <col min="14849" max="14849" width="1.5" style="123" customWidth="1"/>
    <col min="14850" max="14850" width="25.1640625" style="123" bestFit="1" customWidth="1"/>
    <col min="14851" max="14851" width="14.1640625" style="123" customWidth="1"/>
    <col min="14852" max="15104" width="10.83203125" style="123"/>
    <col min="15105" max="15105" width="1.5" style="123" customWidth="1"/>
    <col min="15106" max="15106" width="25.1640625" style="123" bestFit="1" customWidth="1"/>
    <col min="15107" max="15107" width="14.1640625" style="123" customWidth="1"/>
    <col min="15108" max="15360" width="10.83203125" style="123"/>
    <col min="15361" max="15361" width="1.5" style="123" customWidth="1"/>
    <col min="15362" max="15362" width="25.1640625" style="123" bestFit="1" customWidth="1"/>
    <col min="15363" max="15363" width="14.1640625" style="123" customWidth="1"/>
    <col min="15364" max="15616" width="10.83203125" style="123"/>
    <col min="15617" max="15617" width="1.5" style="123" customWidth="1"/>
    <col min="15618" max="15618" width="25.1640625" style="123" bestFit="1" customWidth="1"/>
    <col min="15619" max="15619" width="14.1640625" style="123" customWidth="1"/>
    <col min="15620" max="15872" width="10.83203125" style="123"/>
    <col min="15873" max="15873" width="1.5" style="123" customWidth="1"/>
    <col min="15874" max="15874" width="25.1640625" style="123" bestFit="1" customWidth="1"/>
    <col min="15875" max="15875" width="14.1640625" style="123" customWidth="1"/>
    <col min="15876" max="16128" width="10.83203125" style="123"/>
    <col min="16129" max="16129" width="1.5" style="123" customWidth="1"/>
    <col min="16130" max="16130" width="25.1640625" style="123" bestFit="1" customWidth="1"/>
    <col min="16131" max="16131" width="14.1640625" style="123" customWidth="1"/>
    <col min="16132" max="16384" width="10.83203125" style="123"/>
  </cols>
  <sheetData>
    <row r="1" spans="2:14" ht="9.75" customHeight="1" thickBot="1"/>
    <row r="2" spans="2:14" ht="38.25" customHeight="1" thickBot="1">
      <c r="B2" s="347" t="s">
        <v>210</v>
      </c>
      <c r="C2" s="348"/>
      <c r="D2" s="348"/>
      <c r="E2" s="348"/>
      <c r="F2" s="348"/>
      <c r="G2" s="348"/>
      <c r="H2" s="348"/>
      <c r="I2" s="348"/>
      <c r="J2" s="348"/>
      <c r="K2" s="348"/>
      <c r="L2" s="348"/>
      <c r="M2" s="349"/>
    </row>
    <row r="3" spans="2:14" ht="5.25" customHeight="1">
      <c r="B3" s="124"/>
      <c r="C3" s="125"/>
      <c r="D3" s="125"/>
      <c r="E3" s="126"/>
      <c r="F3" s="127"/>
      <c r="G3" s="127"/>
      <c r="H3" s="127"/>
      <c r="I3" s="127"/>
      <c r="J3" s="127"/>
      <c r="K3" s="127"/>
      <c r="L3" s="127"/>
      <c r="M3" s="127"/>
    </row>
    <row r="4" spans="2:14" ht="36" customHeight="1">
      <c r="E4" s="126"/>
      <c r="F4" s="350" t="s">
        <v>77</v>
      </c>
      <c r="G4" s="350"/>
      <c r="H4" s="350"/>
      <c r="I4" s="350"/>
      <c r="J4" s="350"/>
      <c r="K4" s="350"/>
      <c r="L4" s="350"/>
      <c r="M4" s="350"/>
      <c r="N4" s="128"/>
    </row>
    <row r="5" spans="2:14" ht="18" thickBot="1">
      <c r="B5" s="351" t="s">
        <v>78</v>
      </c>
      <c r="C5" s="352"/>
      <c r="D5" s="352"/>
      <c r="F5" s="122"/>
      <c r="G5" s="122"/>
      <c r="H5" s="122"/>
      <c r="I5" s="122"/>
      <c r="J5" s="122"/>
      <c r="K5" s="122"/>
      <c r="L5" s="122"/>
      <c r="M5" s="122"/>
      <c r="N5" s="122"/>
    </row>
    <row r="6" spans="2:14" ht="17">
      <c r="F6" s="353"/>
      <c r="G6" s="354"/>
      <c r="H6" s="354"/>
      <c r="I6" s="354"/>
      <c r="J6" s="354"/>
      <c r="K6" s="354"/>
      <c r="L6" s="354"/>
      <c r="M6" s="355"/>
      <c r="N6" s="122"/>
    </row>
    <row r="7" spans="2:14" ht="16" thickBot="1">
      <c r="F7" s="356"/>
      <c r="G7" s="357"/>
      <c r="H7" s="357"/>
      <c r="I7" s="357"/>
      <c r="J7" s="357"/>
      <c r="K7" s="357"/>
      <c r="L7" s="357"/>
      <c r="M7" s="358"/>
      <c r="N7" s="122"/>
    </row>
    <row r="8" spans="2:14" ht="28" thickBot="1">
      <c r="B8" s="207" t="s">
        <v>79</v>
      </c>
      <c r="C8" s="208" t="s">
        <v>64</v>
      </c>
      <c r="D8" s="224" t="s">
        <v>80</v>
      </c>
      <c r="F8" s="359"/>
      <c r="G8" s="357"/>
      <c r="H8" s="357"/>
      <c r="I8" s="357"/>
      <c r="J8" s="357"/>
      <c r="K8" s="357"/>
      <c r="L8" s="357"/>
      <c r="M8" s="358"/>
    </row>
    <row r="9" spans="2:14" ht="13">
      <c r="B9" s="204" t="s">
        <v>70</v>
      </c>
      <c r="C9" s="209">
        <f>SUMÁRIO!N51</f>
        <v>0</v>
      </c>
      <c r="D9" s="210">
        <f>SUM(SUMÁRIO!P51/SQRT(4))</f>
        <v>0</v>
      </c>
      <c r="F9" s="130"/>
      <c r="G9" s="122"/>
      <c r="H9" s="122"/>
      <c r="I9" s="122"/>
      <c r="J9" s="122"/>
      <c r="K9" s="122"/>
      <c r="L9" s="122"/>
      <c r="M9" s="131"/>
      <c r="N9" s="122"/>
    </row>
    <row r="10" spans="2:14" ht="13">
      <c r="B10" s="203" t="s">
        <v>71</v>
      </c>
      <c r="C10" s="211">
        <f>SUMÁRIO!N52</f>
        <v>3.7499999999999999E-2</v>
      </c>
      <c r="D10" s="212">
        <f>SUM(SUMÁRIO!P52/SQRT(4))</f>
        <v>3.7500000000000006E-2</v>
      </c>
      <c r="F10" s="130"/>
      <c r="G10" s="122"/>
      <c r="H10" s="122"/>
      <c r="I10" s="122"/>
      <c r="J10" s="122"/>
      <c r="K10" s="122"/>
      <c r="L10" s="122"/>
      <c r="M10" s="131"/>
      <c r="N10" s="122"/>
    </row>
    <row r="11" spans="2:14" ht="13">
      <c r="B11" s="203" t="s">
        <v>72</v>
      </c>
      <c r="C11" s="211">
        <f>SUMÁRIO!N53</f>
        <v>0.05</v>
      </c>
      <c r="D11" s="212">
        <f>SUM(SUMÁRIO!P53/SQRT(4))</f>
        <v>0</v>
      </c>
      <c r="F11" s="130"/>
      <c r="G11" s="122"/>
      <c r="H11" s="122"/>
      <c r="I11" s="122"/>
      <c r="J11" s="122"/>
      <c r="K11" s="122"/>
      <c r="L11" s="122"/>
      <c r="M11" s="131"/>
      <c r="N11" s="122"/>
    </row>
    <row r="12" spans="2:14" ht="13">
      <c r="B12" s="203" t="s">
        <v>171</v>
      </c>
      <c r="C12" s="211">
        <f>SUMÁRIO!N54</f>
        <v>0</v>
      </c>
      <c r="D12" s="212">
        <f>SUM(SUMÁRIO!P54/SQRT(4))</f>
        <v>0</v>
      </c>
      <c r="F12" s="130"/>
      <c r="G12" s="122"/>
      <c r="H12" s="122"/>
      <c r="I12" s="122"/>
      <c r="J12" s="122"/>
      <c r="K12" s="122"/>
      <c r="L12" s="122"/>
      <c r="M12" s="131"/>
      <c r="N12" s="122"/>
    </row>
    <row r="13" spans="2:14" ht="13">
      <c r="B13" s="203" t="s">
        <v>73</v>
      </c>
      <c r="C13" s="211">
        <f>SUMÁRIO!N55</f>
        <v>0</v>
      </c>
      <c r="D13" s="212">
        <f>SUM(SUMÁRIO!P55/SQRT(4))</f>
        <v>0</v>
      </c>
      <c r="F13" s="130"/>
      <c r="G13" s="122"/>
      <c r="H13" s="122"/>
      <c r="I13" s="122"/>
      <c r="J13" s="122"/>
      <c r="K13" s="122"/>
      <c r="L13" s="122"/>
      <c r="M13" s="131"/>
      <c r="N13" s="122"/>
    </row>
    <row r="14" spans="2:14" ht="13">
      <c r="B14" s="206" t="s">
        <v>31</v>
      </c>
      <c r="C14" s="211">
        <f>SUMÁRIO!N57</f>
        <v>0.25625000000000003</v>
      </c>
      <c r="D14" s="212">
        <f>SUM(SUMÁRIO!P57/SQRT(4))</f>
        <v>5.0389110926865835E-2</v>
      </c>
      <c r="F14" s="130"/>
      <c r="G14" s="122"/>
      <c r="H14" s="122"/>
      <c r="I14" s="122"/>
      <c r="J14" s="122"/>
      <c r="K14" s="122"/>
      <c r="L14" s="122"/>
      <c r="M14" s="131"/>
      <c r="N14" s="122"/>
    </row>
    <row r="15" spans="2:14" ht="13">
      <c r="B15" s="203" t="s">
        <v>37</v>
      </c>
      <c r="C15" s="211">
        <f>SUMÁRIO!N56</f>
        <v>0.375</v>
      </c>
      <c r="D15" s="212">
        <f>SUM(SUMÁRIO!P56/SQRT(4))</f>
        <v>7.7055175037112164E-2</v>
      </c>
      <c r="F15" s="130"/>
      <c r="G15" s="122"/>
      <c r="H15" s="122"/>
      <c r="I15" s="122"/>
      <c r="J15" s="122"/>
      <c r="K15" s="122"/>
      <c r="L15" s="122"/>
      <c r="M15" s="131"/>
      <c r="N15" s="122"/>
    </row>
    <row r="16" spans="2:14" ht="13">
      <c r="B16" s="206" t="s">
        <v>25</v>
      </c>
      <c r="C16" s="211">
        <f>SUMÁRIO!N58</f>
        <v>1.2500000000000001E-2</v>
      </c>
      <c r="D16" s="212">
        <f>SUM(SUMÁRIO!P58/SQRT(4))</f>
        <v>7.2168783648703227E-3</v>
      </c>
      <c r="F16" s="130"/>
      <c r="G16" s="122"/>
      <c r="H16" s="122"/>
      <c r="I16" s="122"/>
      <c r="J16" s="122"/>
      <c r="K16" s="122"/>
      <c r="L16" s="122"/>
      <c r="M16" s="131"/>
      <c r="N16" s="122"/>
    </row>
    <row r="17" spans="2:14" ht="13">
      <c r="B17" s="203" t="s">
        <v>21</v>
      </c>
      <c r="C17" s="211">
        <f>SUMÁRIO!N63</f>
        <v>0</v>
      </c>
      <c r="D17" s="212">
        <f>SUM(SUMÁRIO!P63/SQRT(4))</f>
        <v>0</v>
      </c>
      <c r="F17" s="130"/>
      <c r="G17" s="122"/>
      <c r="H17" s="122"/>
      <c r="I17" s="122"/>
      <c r="J17" s="122"/>
      <c r="K17" s="122"/>
      <c r="L17" s="122"/>
      <c r="M17" s="131"/>
      <c r="N17" s="122"/>
    </row>
    <row r="18" spans="2:14" ht="13">
      <c r="B18" s="203" t="s">
        <v>35</v>
      </c>
      <c r="C18" s="211">
        <f>SUMÁRIO!N64</f>
        <v>0</v>
      </c>
      <c r="D18" s="212">
        <f>SUM(SUMÁRIO!P64/SQRT(4))</f>
        <v>0</v>
      </c>
      <c r="F18" s="130"/>
      <c r="G18" s="122"/>
      <c r="H18" s="122"/>
      <c r="I18" s="122"/>
      <c r="J18" s="122"/>
      <c r="K18" s="122"/>
      <c r="L18" s="122"/>
      <c r="M18" s="131"/>
      <c r="N18" s="122"/>
    </row>
    <row r="19" spans="2:14" ht="13">
      <c r="B19" s="206" t="s">
        <v>23</v>
      </c>
      <c r="C19" s="211">
        <f>SUMÁRIO!N61</f>
        <v>0</v>
      </c>
      <c r="D19" s="212">
        <f>SUM(SUMÁRIO!P61/SQRT(4))</f>
        <v>0</v>
      </c>
      <c r="F19" s="130"/>
      <c r="G19" s="122"/>
      <c r="H19" s="122"/>
      <c r="I19" s="122"/>
      <c r="J19" s="122"/>
      <c r="K19" s="122"/>
      <c r="L19" s="122"/>
      <c r="M19" s="131"/>
      <c r="N19" s="122"/>
    </row>
    <row r="20" spans="2:14" ht="13">
      <c r="B20" s="203" t="s">
        <v>29</v>
      </c>
      <c r="C20" s="211">
        <f>SUMÁRIO!N62</f>
        <v>0</v>
      </c>
      <c r="D20" s="212">
        <f>SUM(SUMÁRIO!P62/SQRT(4))</f>
        <v>0</v>
      </c>
      <c r="F20" s="130"/>
      <c r="G20" s="122"/>
      <c r="H20" s="122"/>
      <c r="I20" s="122"/>
      <c r="J20" s="122"/>
      <c r="K20" s="122"/>
      <c r="L20" s="122"/>
      <c r="M20" s="131"/>
      <c r="N20" s="122"/>
    </row>
    <row r="21" spans="2:14" ht="13">
      <c r="B21" s="203" t="s">
        <v>33</v>
      </c>
      <c r="C21" s="211">
        <f>SUMÁRIO!N60</f>
        <v>0</v>
      </c>
      <c r="D21" s="212">
        <f>SUM(SUMÁRIO!P60/SQRT(4))</f>
        <v>0</v>
      </c>
      <c r="F21" s="130"/>
      <c r="G21" s="122"/>
      <c r="H21" s="122"/>
      <c r="I21" s="122"/>
      <c r="J21" s="122"/>
      <c r="K21" s="122"/>
      <c r="L21" s="122"/>
      <c r="M21" s="131"/>
      <c r="N21" s="122"/>
    </row>
    <row r="22" spans="2:14" ht="14" thickBot="1">
      <c r="B22" s="205" t="s">
        <v>27</v>
      </c>
      <c r="C22" s="213">
        <f>SUMÁRIO!N59</f>
        <v>0.26875000000000004</v>
      </c>
      <c r="D22" s="214">
        <f>SUM(SUMÁRIO!P59/SQRT(4))</f>
        <v>5.6249999999999911E-2</v>
      </c>
      <c r="F22" s="130"/>
      <c r="G22" s="122"/>
      <c r="H22" s="122"/>
      <c r="I22" s="122"/>
      <c r="J22" s="122"/>
      <c r="K22" s="122"/>
      <c r="L22" s="122"/>
      <c r="M22" s="131"/>
      <c r="N22" s="122"/>
    </row>
    <row r="23" spans="2:14" ht="13" thickBot="1">
      <c r="F23" s="130"/>
      <c r="G23" s="122"/>
      <c r="H23" s="122"/>
      <c r="I23" s="122"/>
      <c r="J23" s="122"/>
      <c r="K23" s="122"/>
      <c r="L23" s="122"/>
      <c r="M23" s="131"/>
      <c r="N23" s="122"/>
    </row>
    <row r="24" spans="2:14" ht="14" thickBot="1">
      <c r="B24" s="133" t="s">
        <v>81</v>
      </c>
      <c r="C24" s="134">
        <f>SUM(C9:C22)</f>
        <v>1</v>
      </c>
      <c r="F24" s="130"/>
      <c r="G24" s="122"/>
      <c r="H24" s="122"/>
      <c r="I24" s="122"/>
      <c r="J24" s="122"/>
      <c r="K24" s="122"/>
      <c r="L24" s="122"/>
      <c r="M24" s="131"/>
      <c r="N24" s="122"/>
    </row>
    <row r="25" spans="2:14">
      <c r="F25" s="130"/>
      <c r="G25" s="122"/>
      <c r="H25" s="122"/>
      <c r="I25" s="122"/>
      <c r="J25" s="122"/>
      <c r="K25" s="122"/>
      <c r="L25" s="122"/>
      <c r="M25" s="131"/>
      <c r="N25" s="122"/>
    </row>
    <row r="26" spans="2:14" ht="13" thickBot="1">
      <c r="F26" s="130"/>
      <c r="G26" s="122"/>
      <c r="H26" s="122"/>
      <c r="I26" s="122"/>
      <c r="J26" s="122"/>
      <c r="K26" s="122"/>
      <c r="L26" s="122"/>
      <c r="M26" s="131"/>
      <c r="N26" s="122"/>
    </row>
    <row r="27" spans="2:14" ht="27" thickBot="1">
      <c r="B27" s="135" t="s">
        <v>82</v>
      </c>
      <c r="C27" s="136" t="s">
        <v>64</v>
      </c>
      <c r="D27" s="137" t="s">
        <v>80</v>
      </c>
      <c r="F27" s="130"/>
      <c r="G27" s="122"/>
      <c r="H27" s="122"/>
      <c r="I27" s="122"/>
      <c r="J27" s="122"/>
      <c r="K27" s="122"/>
      <c r="L27" s="122"/>
      <c r="M27" s="131"/>
      <c r="N27" s="122"/>
    </row>
    <row r="28" spans="2:14" ht="13">
      <c r="B28" s="129" t="s">
        <v>37</v>
      </c>
      <c r="C28" s="138">
        <f>C15</f>
        <v>0.375</v>
      </c>
      <c r="D28" s="139">
        <f>D15</f>
        <v>7.7055175037112164E-2</v>
      </c>
      <c r="F28" s="130"/>
      <c r="G28" s="122"/>
      <c r="H28" s="122"/>
      <c r="I28" s="122"/>
      <c r="J28" s="122"/>
      <c r="K28" s="122"/>
      <c r="L28" s="122"/>
      <c r="M28" s="131"/>
      <c r="N28" s="122"/>
    </row>
    <row r="29" spans="2:14" ht="13">
      <c r="B29" s="34" t="s">
        <v>31</v>
      </c>
      <c r="C29" s="140">
        <f>C14</f>
        <v>0.25625000000000003</v>
      </c>
      <c r="D29" s="141">
        <f>D14</f>
        <v>5.0389110926865835E-2</v>
      </c>
      <c r="F29" s="130"/>
      <c r="G29" s="122"/>
      <c r="H29" s="122"/>
      <c r="I29" s="122"/>
      <c r="J29" s="122"/>
      <c r="K29" s="122"/>
      <c r="L29" s="122"/>
      <c r="M29" s="131"/>
      <c r="N29" s="122"/>
    </row>
    <row r="30" spans="2:14" ht="13">
      <c r="B30" s="142" t="s">
        <v>70</v>
      </c>
      <c r="C30" s="140">
        <f t="shared" ref="C30:D34" si="0">C9</f>
        <v>0</v>
      </c>
      <c r="D30" s="141">
        <f t="shared" si="0"/>
        <v>0</v>
      </c>
      <c r="F30" s="130"/>
      <c r="G30" s="122"/>
      <c r="H30" s="122"/>
      <c r="I30" s="122"/>
      <c r="J30" s="122"/>
      <c r="K30" s="122"/>
      <c r="L30" s="122"/>
      <c r="M30" s="131"/>
      <c r="N30" s="122"/>
    </row>
    <row r="31" spans="2:14" ht="13">
      <c r="B31" s="142" t="s">
        <v>71</v>
      </c>
      <c r="C31" s="140">
        <f t="shared" si="0"/>
        <v>3.7499999999999999E-2</v>
      </c>
      <c r="D31" s="141">
        <f t="shared" si="0"/>
        <v>3.7500000000000006E-2</v>
      </c>
      <c r="F31" s="130"/>
      <c r="G31" s="122"/>
      <c r="H31" s="122"/>
      <c r="I31" s="122"/>
      <c r="J31" s="122"/>
      <c r="K31" s="122"/>
      <c r="L31" s="122"/>
      <c r="M31" s="131"/>
      <c r="N31" s="122"/>
    </row>
    <row r="32" spans="2:14" ht="13">
      <c r="B32" s="142" t="s">
        <v>72</v>
      </c>
      <c r="C32" s="140">
        <f t="shared" si="0"/>
        <v>0.05</v>
      </c>
      <c r="D32" s="141">
        <f t="shared" si="0"/>
        <v>0</v>
      </c>
      <c r="F32" s="130"/>
      <c r="G32" s="122"/>
      <c r="H32" s="122"/>
      <c r="I32" s="122"/>
      <c r="J32" s="122"/>
      <c r="K32" s="122"/>
      <c r="L32" s="122"/>
      <c r="M32" s="131"/>
      <c r="N32" s="122"/>
    </row>
    <row r="33" spans="2:14" ht="13">
      <c r="B33" s="203" t="s">
        <v>171</v>
      </c>
      <c r="C33" s="140">
        <f t="shared" si="0"/>
        <v>0</v>
      </c>
      <c r="D33" s="141">
        <f t="shared" si="0"/>
        <v>0</v>
      </c>
      <c r="F33" s="130"/>
      <c r="G33" s="122"/>
      <c r="H33" s="122"/>
      <c r="I33" s="122"/>
      <c r="J33" s="122"/>
      <c r="K33" s="122"/>
      <c r="L33" s="122"/>
      <c r="M33" s="131"/>
      <c r="N33" s="122"/>
    </row>
    <row r="34" spans="2:14" ht="13">
      <c r="B34" s="29" t="s">
        <v>73</v>
      </c>
      <c r="C34" s="140">
        <f t="shared" si="0"/>
        <v>0</v>
      </c>
      <c r="D34" s="141">
        <f t="shared" si="0"/>
        <v>0</v>
      </c>
      <c r="F34" s="130"/>
      <c r="G34" s="122"/>
      <c r="H34" s="122"/>
      <c r="I34" s="122"/>
      <c r="J34" s="122"/>
      <c r="K34" s="122"/>
      <c r="L34" s="122"/>
      <c r="M34" s="131"/>
      <c r="N34" s="122"/>
    </row>
    <row r="35" spans="2:14" ht="13">
      <c r="B35" s="29" t="s">
        <v>21</v>
      </c>
      <c r="C35" s="140">
        <f>C17</f>
        <v>0</v>
      </c>
      <c r="D35" s="141">
        <f>D17</f>
        <v>0</v>
      </c>
      <c r="F35" s="130"/>
      <c r="G35" s="122"/>
      <c r="H35" s="122"/>
      <c r="I35" s="122"/>
      <c r="J35" s="122"/>
      <c r="K35" s="122"/>
      <c r="L35" s="122"/>
      <c r="M35" s="131"/>
      <c r="N35" s="122"/>
    </row>
    <row r="36" spans="2:14" ht="14" thickBot="1">
      <c r="B36" s="132" t="s">
        <v>35</v>
      </c>
      <c r="C36" s="143">
        <f>C18</f>
        <v>0</v>
      </c>
      <c r="D36" s="144">
        <f>D18</f>
        <v>0</v>
      </c>
      <c r="F36" s="130"/>
      <c r="G36" s="122"/>
      <c r="H36" s="122"/>
      <c r="I36" s="122"/>
      <c r="J36" s="122"/>
      <c r="K36" s="122"/>
      <c r="L36" s="122"/>
      <c r="M36" s="131"/>
      <c r="N36" s="122"/>
    </row>
    <row r="37" spans="2:14">
      <c r="F37" s="130"/>
      <c r="G37" s="122"/>
      <c r="H37" s="122"/>
      <c r="I37" s="122"/>
      <c r="J37" s="122"/>
      <c r="K37" s="122"/>
      <c r="L37" s="122"/>
      <c r="M37" s="131"/>
      <c r="N37" s="122"/>
    </row>
    <row r="38" spans="2:14" ht="13" thickBot="1">
      <c r="F38" s="130"/>
      <c r="G38" s="122"/>
      <c r="H38" s="122"/>
      <c r="I38" s="122"/>
      <c r="J38" s="122"/>
      <c r="K38" s="122"/>
      <c r="L38" s="122"/>
      <c r="M38" s="131"/>
      <c r="N38" s="122"/>
    </row>
    <row r="39" spans="2:14" ht="32.25" customHeight="1" thickBot="1">
      <c r="B39" s="145" t="s">
        <v>83</v>
      </c>
      <c r="C39" s="136" t="s">
        <v>64</v>
      </c>
      <c r="D39" s="137" t="s">
        <v>80</v>
      </c>
      <c r="F39" s="130"/>
      <c r="G39" s="122"/>
      <c r="H39" s="122"/>
      <c r="I39" s="122"/>
      <c r="J39" s="122"/>
      <c r="K39" s="122"/>
      <c r="L39" s="122"/>
      <c r="M39" s="131"/>
      <c r="N39" s="122"/>
    </row>
    <row r="40" spans="2:14" ht="13">
      <c r="B40" s="231" t="s">
        <v>25</v>
      </c>
      <c r="C40" s="138">
        <f>C16</f>
        <v>1.2500000000000001E-2</v>
      </c>
      <c r="D40" s="147">
        <f>D16</f>
        <v>7.2168783648703227E-3</v>
      </c>
      <c r="F40" s="130"/>
      <c r="G40" s="122"/>
      <c r="H40" s="122"/>
      <c r="I40" s="122"/>
      <c r="J40" s="122"/>
      <c r="K40" s="122"/>
      <c r="L40" s="122"/>
      <c r="M40" s="131"/>
      <c r="N40" s="122"/>
    </row>
    <row r="41" spans="2:14" ht="13">
      <c r="B41" s="146" t="s">
        <v>23</v>
      </c>
      <c r="C41" s="140">
        <f t="shared" ref="C41:D44" si="1">C19</f>
        <v>0</v>
      </c>
      <c r="D41" s="148">
        <f t="shared" si="1"/>
        <v>0</v>
      </c>
      <c r="E41" s="149"/>
      <c r="F41" s="130"/>
      <c r="G41" s="122"/>
      <c r="H41" s="122"/>
      <c r="I41" s="122"/>
      <c r="J41" s="122"/>
      <c r="K41" s="122"/>
      <c r="L41" s="122"/>
      <c r="M41" s="131"/>
      <c r="N41" s="122"/>
    </row>
    <row r="42" spans="2:14" ht="13">
      <c r="B42" s="146" t="s">
        <v>29</v>
      </c>
      <c r="C42" s="140">
        <f t="shared" si="1"/>
        <v>0</v>
      </c>
      <c r="D42" s="148">
        <f t="shared" si="1"/>
        <v>0</v>
      </c>
      <c r="E42" s="150"/>
      <c r="F42" s="130"/>
      <c r="G42" s="122"/>
      <c r="H42" s="122"/>
      <c r="I42" s="122"/>
      <c r="J42" s="122"/>
      <c r="K42" s="122"/>
      <c r="L42" s="122"/>
      <c r="M42" s="131"/>
      <c r="N42" s="122"/>
    </row>
    <row r="43" spans="2:14" ht="13">
      <c r="B43" s="146" t="s">
        <v>33</v>
      </c>
      <c r="C43" s="140">
        <f t="shared" si="1"/>
        <v>0</v>
      </c>
      <c r="D43" s="148">
        <f t="shared" si="1"/>
        <v>0</v>
      </c>
      <c r="F43" s="130"/>
      <c r="G43" s="122"/>
      <c r="H43" s="122"/>
      <c r="I43" s="122"/>
      <c r="J43" s="122"/>
      <c r="K43" s="122"/>
      <c r="L43" s="122"/>
      <c r="M43" s="131"/>
      <c r="N43" s="122"/>
    </row>
    <row r="44" spans="2:14" ht="14" thickBot="1">
      <c r="B44" s="221" t="s">
        <v>27</v>
      </c>
      <c r="C44" s="143">
        <f t="shared" si="1"/>
        <v>0.26875000000000004</v>
      </c>
      <c r="D44" s="151">
        <f t="shared" si="1"/>
        <v>5.6249999999999911E-2</v>
      </c>
      <c r="F44" s="130"/>
      <c r="G44" s="122"/>
      <c r="H44" s="122"/>
      <c r="I44" s="122"/>
      <c r="J44" s="122"/>
      <c r="K44" s="122"/>
      <c r="L44" s="122"/>
      <c r="M44" s="131"/>
      <c r="N44" s="122"/>
    </row>
    <row r="45" spans="2:14" ht="13" thickBot="1">
      <c r="F45" s="152"/>
      <c r="G45" s="153"/>
      <c r="H45" s="153"/>
      <c r="I45" s="153"/>
      <c r="J45" s="153"/>
      <c r="K45" s="153"/>
      <c r="L45" s="153"/>
      <c r="M45" s="154"/>
      <c r="N45" s="122"/>
    </row>
    <row r="46" spans="2:14" ht="13">
      <c r="B46" s="345"/>
      <c r="C46" s="346"/>
      <c r="D46" s="346"/>
      <c r="E46" s="346"/>
      <c r="F46" s="122"/>
      <c r="G46" s="122"/>
      <c r="H46" s="122"/>
      <c r="I46" s="122"/>
      <c r="J46" s="122"/>
      <c r="K46" s="122"/>
      <c r="L46" s="122"/>
      <c r="M46" s="122"/>
      <c r="N46" s="122"/>
    </row>
    <row r="47" spans="2:14">
      <c r="F47" s="122"/>
      <c r="G47" s="122"/>
      <c r="H47" s="122"/>
      <c r="I47" s="122"/>
      <c r="J47" s="122"/>
      <c r="K47" s="122"/>
      <c r="L47" s="122"/>
      <c r="M47" s="122"/>
      <c r="N47" s="122"/>
    </row>
    <row r="48" spans="2:14">
      <c r="F48" s="122"/>
      <c r="G48" s="122"/>
      <c r="H48" s="122"/>
      <c r="I48" s="122"/>
      <c r="J48" s="122"/>
      <c r="K48" s="122"/>
      <c r="L48" s="122"/>
      <c r="M48" s="122"/>
      <c r="N48" s="122"/>
    </row>
    <row r="49" spans="6:14">
      <c r="F49" s="122"/>
      <c r="G49" s="122"/>
      <c r="H49" s="122"/>
      <c r="I49" s="122"/>
      <c r="J49" s="122"/>
      <c r="K49" s="122"/>
      <c r="L49" s="122"/>
      <c r="M49" s="122"/>
      <c r="N49" s="122"/>
    </row>
  </sheetData>
  <sheetProtection password="C446" sheet="1" objects="1" scenarios="1"/>
  <mergeCells count="7">
    <mergeCell ref="B46:E46"/>
    <mergeCell ref="B2:M2"/>
    <mergeCell ref="F4:M4"/>
    <mergeCell ref="B5:D5"/>
    <mergeCell ref="F6:M6"/>
    <mergeCell ref="F7:M7"/>
    <mergeCell ref="F8:M8"/>
  </mergeCells>
  <pageMargins left="0.90551181102362199" right="0.511811023622047" top="0.39370078740157499" bottom="0.39370078740157499" header="0.25590551" footer="0.31496062992126"/>
  <headerFooter>
    <oddHeader>&amp;CReef Check Brasil - substrato gráficos</oddHeader>
    <oddFooter>Página &amp;P de &amp;N</oddFooter>
  </headerFooter>
  <drawing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C209"/>
  <sheetViews>
    <sheetView topLeftCell="A13" workbookViewId="0">
      <selection activeCell="U19" sqref="U19"/>
    </sheetView>
  </sheetViews>
  <sheetFormatPr baseColWidth="10" defaultColWidth="8.83203125" defaultRowHeight="12" x14ac:dyDescent="0"/>
  <cols>
    <col min="1" max="1" width="1.5" style="21" customWidth="1"/>
    <col min="2" max="2" width="2.1640625" style="21" customWidth="1"/>
    <col min="3" max="3" width="11.33203125" style="185" customWidth="1"/>
    <col min="4" max="4" width="28.33203125" style="20" bestFit="1" customWidth="1"/>
    <col min="5" max="5" width="28.33203125" style="20" customWidth="1"/>
    <col min="6" max="6" width="26.33203125" style="20" customWidth="1"/>
    <col min="7" max="7" width="19.6640625" style="20" customWidth="1"/>
    <col min="8" max="8" width="9.5" style="20" customWidth="1"/>
    <col min="9" max="9" width="24.33203125" style="20" customWidth="1"/>
    <col min="10" max="10" width="27" style="20" customWidth="1"/>
    <col min="11" max="11" width="26.6640625" style="20" customWidth="1"/>
    <col min="12" max="12" width="20.5" style="20" customWidth="1"/>
    <col min="13" max="13" width="11" style="20" customWidth="1"/>
    <col min="14" max="14" width="24.83203125" style="20" bestFit="1" customWidth="1"/>
    <col min="15" max="15" width="24.83203125" style="20" customWidth="1"/>
    <col min="16" max="16" width="27.1640625" style="20" customWidth="1"/>
    <col min="17" max="17" width="19.83203125" style="20" customWidth="1"/>
    <col min="18" max="18" width="11.5" style="20" customWidth="1"/>
    <col min="19" max="19" width="24.83203125" style="21" bestFit="1" customWidth="1"/>
    <col min="20" max="20" width="24.83203125" style="21" customWidth="1"/>
    <col min="21" max="21" width="28.6640625" style="20" customWidth="1"/>
    <col min="22" max="22" width="19.5" style="21" customWidth="1"/>
    <col min="23" max="23" width="3.5" style="22" customWidth="1"/>
    <col min="24" max="28" width="8.83203125" style="123" customWidth="1"/>
    <col min="29" max="29" width="2.6640625" style="22" customWidth="1"/>
    <col min="30" max="30" width="40.5" style="201" customWidth="1"/>
    <col min="31" max="31" width="42.33203125" style="201" customWidth="1"/>
    <col min="32" max="32" width="8.83203125" style="201" customWidth="1"/>
    <col min="33" max="46" width="8.83203125" style="123" customWidth="1"/>
    <col min="47" max="81" width="8.83203125" style="22" customWidth="1"/>
    <col min="82" max="253" width="8.83203125" style="21"/>
    <col min="254" max="254" width="1.5" style="21" customWidth="1"/>
    <col min="255" max="255" width="2.1640625" style="21" customWidth="1"/>
    <col min="256" max="256" width="11.33203125" style="21" customWidth="1"/>
    <col min="257" max="257" width="28.33203125" style="21" bestFit="1" customWidth="1"/>
    <col min="258" max="258" width="28.33203125" style="21" customWidth="1"/>
    <col min="259" max="259" width="25.1640625" style="21" customWidth="1"/>
    <col min="260" max="260" width="18" style="21" customWidth="1"/>
    <col min="261" max="261" width="11" style="21" customWidth="1"/>
    <col min="262" max="263" width="24.33203125" style="21" customWidth="1"/>
    <col min="264" max="264" width="25" style="21" customWidth="1"/>
    <col min="265" max="265" width="13.5" style="21" customWidth="1"/>
    <col min="266" max="266" width="11" style="21" customWidth="1"/>
    <col min="267" max="267" width="24.83203125" style="21" bestFit="1" customWidth="1"/>
    <col min="268" max="269" width="24.83203125" style="21" customWidth="1"/>
    <col min="270" max="270" width="15.33203125" style="21" customWidth="1"/>
    <col min="271" max="272" width="11.5" style="21" customWidth="1"/>
    <col min="273" max="273" width="24.83203125" style="21" bestFit="1" customWidth="1"/>
    <col min="274" max="274" width="24.83203125" style="21" customWidth="1"/>
    <col min="275" max="275" width="30.5" style="21" customWidth="1"/>
    <col min="276" max="276" width="12.1640625" style="21" bestFit="1" customWidth="1"/>
    <col min="277" max="277" width="3.5" style="21" customWidth="1"/>
    <col min="278" max="282" width="8.83203125" style="21" customWidth="1"/>
    <col min="283" max="283" width="2.6640625" style="21" customWidth="1"/>
    <col min="284" max="284" width="40.5" style="21" customWidth="1"/>
    <col min="285" max="285" width="42.33203125" style="21" customWidth="1"/>
    <col min="286" max="337" width="8.83203125" style="21" customWidth="1"/>
    <col min="338" max="509" width="8.83203125" style="21"/>
    <col min="510" max="510" width="1.5" style="21" customWidth="1"/>
    <col min="511" max="511" width="2.1640625" style="21" customWidth="1"/>
    <col min="512" max="512" width="11.33203125" style="21" customWidth="1"/>
    <col min="513" max="513" width="28.33203125" style="21" bestFit="1" customWidth="1"/>
    <col min="514" max="514" width="28.33203125" style="21" customWidth="1"/>
    <col min="515" max="515" width="25.1640625" style="21" customWidth="1"/>
    <col min="516" max="516" width="18" style="21" customWidth="1"/>
    <col min="517" max="517" width="11" style="21" customWidth="1"/>
    <col min="518" max="519" width="24.33203125" style="21" customWidth="1"/>
    <col min="520" max="520" width="25" style="21" customWidth="1"/>
    <col min="521" max="521" width="13.5" style="21" customWidth="1"/>
    <col min="522" max="522" width="11" style="21" customWidth="1"/>
    <col min="523" max="523" width="24.83203125" style="21" bestFit="1" customWidth="1"/>
    <col min="524" max="525" width="24.83203125" style="21" customWidth="1"/>
    <col min="526" max="526" width="15.33203125" style="21" customWidth="1"/>
    <col min="527" max="528" width="11.5" style="21" customWidth="1"/>
    <col min="529" max="529" width="24.83203125" style="21" bestFit="1" customWidth="1"/>
    <col min="530" max="530" width="24.83203125" style="21" customWidth="1"/>
    <col min="531" max="531" width="30.5" style="21" customWidth="1"/>
    <col min="532" max="532" width="12.1640625" style="21" bestFit="1" customWidth="1"/>
    <col min="533" max="533" width="3.5" style="21" customWidth="1"/>
    <col min="534" max="538" width="8.83203125" style="21" customWidth="1"/>
    <col min="539" max="539" width="2.6640625" style="21" customWidth="1"/>
    <col min="540" max="540" width="40.5" style="21" customWidth="1"/>
    <col min="541" max="541" width="42.33203125" style="21" customWidth="1"/>
    <col min="542" max="593" width="8.83203125" style="21" customWidth="1"/>
    <col min="594" max="765" width="8.83203125" style="21"/>
    <col min="766" max="766" width="1.5" style="21" customWidth="1"/>
    <col min="767" max="767" width="2.1640625" style="21" customWidth="1"/>
    <col min="768" max="768" width="11.33203125" style="21" customWidth="1"/>
    <col min="769" max="769" width="28.33203125" style="21" bestFit="1" customWidth="1"/>
    <col min="770" max="770" width="28.33203125" style="21" customWidth="1"/>
    <col min="771" max="771" width="25.1640625" style="21" customWidth="1"/>
    <col min="772" max="772" width="18" style="21" customWidth="1"/>
    <col min="773" max="773" width="11" style="21" customWidth="1"/>
    <col min="774" max="775" width="24.33203125" style="21" customWidth="1"/>
    <col min="776" max="776" width="25" style="21" customWidth="1"/>
    <col min="777" max="777" width="13.5" style="21" customWidth="1"/>
    <col min="778" max="778" width="11" style="21" customWidth="1"/>
    <col min="779" max="779" width="24.83203125" style="21" bestFit="1" customWidth="1"/>
    <col min="780" max="781" width="24.83203125" style="21" customWidth="1"/>
    <col min="782" max="782" width="15.33203125" style="21" customWidth="1"/>
    <col min="783" max="784" width="11.5" style="21" customWidth="1"/>
    <col min="785" max="785" width="24.83203125" style="21" bestFit="1" customWidth="1"/>
    <col min="786" max="786" width="24.83203125" style="21" customWidth="1"/>
    <col min="787" max="787" width="30.5" style="21" customWidth="1"/>
    <col min="788" max="788" width="12.1640625" style="21" bestFit="1" customWidth="1"/>
    <col min="789" max="789" width="3.5" style="21" customWidth="1"/>
    <col min="790" max="794" width="8.83203125" style="21" customWidth="1"/>
    <col min="795" max="795" width="2.6640625" style="21" customWidth="1"/>
    <col min="796" max="796" width="40.5" style="21" customWidth="1"/>
    <col min="797" max="797" width="42.33203125" style="21" customWidth="1"/>
    <col min="798" max="849" width="8.83203125" style="21" customWidth="1"/>
    <col min="850" max="1021" width="8.83203125" style="21"/>
    <col min="1022" max="1022" width="1.5" style="21" customWidth="1"/>
    <col min="1023" max="1023" width="2.1640625" style="21" customWidth="1"/>
    <col min="1024" max="1024" width="11.33203125" style="21" customWidth="1"/>
    <col min="1025" max="1025" width="28.33203125" style="21" bestFit="1" customWidth="1"/>
    <col min="1026" max="1026" width="28.33203125" style="21" customWidth="1"/>
    <col min="1027" max="1027" width="25.1640625" style="21" customWidth="1"/>
    <col min="1028" max="1028" width="18" style="21" customWidth="1"/>
    <col min="1029" max="1029" width="11" style="21" customWidth="1"/>
    <col min="1030" max="1031" width="24.33203125" style="21" customWidth="1"/>
    <col min="1032" max="1032" width="25" style="21" customWidth="1"/>
    <col min="1033" max="1033" width="13.5" style="21" customWidth="1"/>
    <col min="1034" max="1034" width="11" style="21" customWidth="1"/>
    <col min="1035" max="1035" width="24.83203125" style="21" bestFit="1" customWidth="1"/>
    <col min="1036" max="1037" width="24.83203125" style="21" customWidth="1"/>
    <col min="1038" max="1038" width="15.33203125" style="21" customWidth="1"/>
    <col min="1039" max="1040" width="11.5" style="21" customWidth="1"/>
    <col min="1041" max="1041" width="24.83203125" style="21" bestFit="1" customWidth="1"/>
    <col min="1042" max="1042" width="24.83203125" style="21" customWidth="1"/>
    <col min="1043" max="1043" width="30.5" style="21" customWidth="1"/>
    <col min="1044" max="1044" width="12.1640625" style="21" bestFit="1" customWidth="1"/>
    <col min="1045" max="1045" width="3.5" style="21" customWidth="1"/>
    <col min="1046" max="1050" width="8.83203125" style="21" customWidth="1"/>
    <col min="1051" max="1051" width="2.6640625" style="21" customWidth="1"/>
    <col min="1052" max="1052" width="40.5" style="21" customWidth="1"/>
    <col min="1053" max="1053" width="42.33203125" style="21" customWidth="1"/>
    <col min="1054" max="1105" width="8.83203125" style="21" customWidth="1"/>
    <col min="1106" max="1277" width="8.83203125" style="21"/>
    <col min="1278" max="1278" width="1.5" style="21" customWidth="1"/>
    <col min="1279" max="1279" width="2.1640625" style="21" customWidth="1"/>
    <col min="1280" max="1280" width="11.33203125" style="21" customWidth="1"/>
    <col min="1281" max="1281" width="28.33203125" style="21" bestFit="1" customWidth="1"/>
    <col min="1282" max="1282" width="28.33203125" style="21" customWidth="1"/>
    <col min="1283" max="1283" width="25.1640625" style="21" customWidth="1"/>
    <col min="1284" max="1284" width="18" style="21" customWidth="1"/>
    <col min="1285" max="1285" width="11" style="21" customWidth="1"/>
    <col min="1286" max="1287" width="24.33203125" style="21" customWidth="1"/>
    <col min="1288" max="1288" width="25" style="21" customWidth="1"/>
    <col min="1289" max="1289" width="13.5" style="21" customWidth="1"/>
    <col min="1290" max="1290" width="11" style="21" customWidth="1"/>
    <col min="1291" max="1291" width="24.83203125" style="21" bestFit="1" customWidth="1"/>
    <col min="1292" max="1293" width="24.83203125" style="21" customWidth="1"/>
    <col min="1294" max="1294" width="15.33203125" style="21" customWidth="1"/>
    <col min="1295" max="1296" width="11.5" style="21" customWidth="1"/>
    <col min="1297" max="1297" width="24.83203125" style="21" bestFit="1" customWidth="1"/>
    <col min="1298" max="1298" width="24.83203125" style="21" customWidth="1"/>
    <col min="1299" max="1299" width="30.5" style="21" customWidth="1"/>
    <col min="1300" max="1300" width="12.1640625" style="21" bestFit="1" customWidth="1"/>
    <col min="1301" max="1301" width="3.5" style="21" customWidth="1"/>
    <col min="1302" max="1306" width="8.83203125" style="21" customWidth="1"/>
    <col min="1307" max="1307" width="2.6640625" style="21" customWidth="1"/>
    <col min="1308" max="1308" width="40.5" style="21" customWidth="1"/>
    <col min="1309" max="1309" width="42.33203125" style="21" customWidth="1"/>
    <col min="1310" max="1361" width="8.83203125" style="21" customWidth="1"/>
    <col min="1362" max="1533" width="8.83203125" style="21"/>
    <col min="1534" max="1534" width="1.5" style="21" customWidth="1"/>
    <col min="1535" max="1535" width="2.1640625" style="21" customWidth="1"/>
    <col min="1536" max="1536" width="11.33203125" style="21" customWidth="1"/>
    <col min="1537" max="1537" width="28.33203125" style="21" bestFit="1" customWidth="1"/>
    <col min="1538" max="1538" width="28.33203125" style="21" customWidth="1"/>
    <col min="1539" max="1539" width="25.1640625" style="21" customWidth="1"/>
    <col min="1540" max="1540" width="18" style="21" customWidth="1"/>
    <col min="1541" max="1541" width="11" style="21" customWidth="1"/>
    <col min="1542" max="1543" width="24.33203125" style="21" customWidth="1"/>
    <col min="1544" max="1544" width="25" style="21" customWidth="1"/>
    <col min="1545" max="1545" width="13.5" style="21" customWidth="1"/>
    <col min="1546" max="1546" width="11" style="21" customWidth="1"/>
    <col min="1547" max="1547" width="24.83203125" style="21" bestFit="1" customWidth="1"/>
    <col min="1548" max="1549" width="24.83203125" style="21" customWidth="1"/>
    <col min="1550" max="1550" width="15.33203125" style="21" customWidth="1"/>
    <col min="1551" max="1552" width="11.5" style="21" customWidth="1"/>
    <col min="1553" max="1553" width="24.83203125" style="21" bestFit="1" customWidth="1"/>
    <col min="1554" max="1554" width="24.83203125" style="21" customWidth="1"/>
    <col min="1555" max="1555" width="30.5" style="21" customWidth="1"/>
    <col min="1556" max="1556" width="12.1640625" style="21" bestFit="1" customWidth="1"/>
    <col min="1557" max="1557" width="3.5" style="21" customWidth="1"/>
    <col min="1558" max="1562" width="8.83203125" style="21" customWidth="1"/>
    <col min="1563" max="1563" width="2.6640625" style="21" customWidth="1"/>
    <col min="1564" max="1564" width="40.5" style="21" customWidth="1"/>
    <col min="1565" max="1565" width="42.33203125" style="21" customWidth="1"/>
    <col min="1566" max="1617" width="8.83203125" style="21" customWidth="1"/>
    <col min="1618" max="1789" width="8.83203125" style="21"/>
    <col min="1790" max="1790" width="1.5" style="21" customWidth="1"/>
    <col min="1791" max="1791" width="2.1640625" style="21" customWidth="1"/>
    <col min="1792" max="1792" width="11.33203125" style="21" customWidth="1"/>
    <col min="1793" max="1793" width="28.33203125" style="21" bestFit="1" customWidth="1"/>
    <col min="1794" max="1794" width="28.33203125" style="21" customWidth="1"/>
    <col min="1795" max="1795" width="25.1640625" style="21" customWidth="1"/>
    <col min="1796" max="1796" width="18" style="21" customWidth="1"/>
    <col min="1797" max="1797" width="11" style="21" customWidth="1"/>
    <col min="1798" max="1799" width="24.33203125" style="21" customWidth="1"/>
    <col min="1800" max="1800" width="25" style="21" customWidth="1"/>
    <col min="1801" max="1801" width="13.5" style="21" customWidth="1"/>
    <col min="1802" max="1802" width="11" style="21" customWidth="1"/>
    <col min="1803" max="1803" width="24.83203125" style="21" bestFit="1" customWidth="1"/>
    <col min="1804" max="1805" width="24.83203125" style="21" customWidth="1"/>
    <col min="1806" max="1806" width="15.33203125" style="21" customWidth="1"/>
    <col min="1807" max="1808" width="11.5" style="21" customWidth="1"/>
    <col min="1809" max="1809" width="24.83203125" style="21" bestFit="1" customWidth="1"/>
    <col min="1810" max="1810" width="24.83203125" style="21" customWidth="1"/>
    <col min="1811" max="1811" width="30.5" style="21" customWidth="1"/>
    <col min="1812" max="1812" width="12.1640625" style="21" bestFit="1" customWidth="1"/>
    <col min="1813" max="1813" width="3.5" style="21" customWidth="1"/>
    <col min="1814" max="1818" width="8.83203125" style="21" customWidth="1"/>
    <col min="1819" max="1819" width="2.6640625" style="21" customWidth="1"/>
    <col min="1820" max="1820" width="40.5" style="21" customWidth="1"/>
    <col min="1821" max="1821" width="42.33203125" style="21" customWidth="1"/>
    <col min="1822" max="1873" width="8.83203125" style="21" customWidth="1"/>
    <col min="1874" max="2045" width="8.83203125" style="21"/>
    <col min="2046" max="2046" width="1.5" style="21" customWidth="1"/>
    <col min="2047" max="2047" width="2.1640625" style="21" customWidth="1"/>
    <col min="2048" max="2048" width="11.33203125" style="21" customWidth="1"/>
    <col min="2049" max="2049" width="28.33203125" style="21" bestFit="1" customWidth="1"/>
    <col min="2050" max="2050" width="28.33203125" style="21" customWidth="1"/>
    <col min="2051" max="2051" width="25.1640625" style="21" customWidth="1"/>
    <col min="2052" max="2052" width="18" style="21" customWidth="1"/>
    <col min="2053" max="2053" width="11" style="21" customWidth="1"/>
    <col min="2054" max="2055" width="24.33203125" style="21" customWidth="1"/>
    <col min="2056" max="2056" width="25" style="21" customWidth="1"/>
    <col min="2057" max="2057" width="13.5" style="21" customWidth="1"/>
    <col min="2058" max="2058" width="11" style="21" customWidth="1"/>
    <col min="2059" max="2059" width="24.83203125" style="21" bestFit="1" customWidth="1"/>
    <col min="2060" max="2061" width="24.83203125" style="21" customWidth="1"/>
    <col min="2062" max="2062" width="15.33203125" style="21" customWidth="1"/>
    <col min="2063" max="2064" width="11.5" style="21" customWidth="1"/>
    <col min="2065" max="2065" width="24.83203125" style="21" bestFit="1" customWidth="1"/>
    <col min="2066" max="2066" width="24.83203125" style="21" customWidth="1"/>
    <col min="2067" max="2067" width="30.5" style="21" customWidth="1"/>
    <col min="2068" max="2068" width="12.1640625" style="21" bestFit="1" customWidth="1"/>
    <col min="2069" max="2069" width="3.5" style="21" customWidth="1"/>
    <col min="2070" max="2074" width="8.83203125" style="21" customWidth="1"/>
    <col min="2075" max="2075" width="2.6640625" style="21" customWidth="1"/>
    <col min="2076" max="2076" width="40.5" style="21" customWidth="1"/>
    <col min="2077" max="2077" width="42.33203125" style="21" customWidth="1"/>
    <col min="2078" max="2129" width="8.83203125" style="21" customWidth="1"/>
    <col min="2130" max="2301" width="8.83203125" style="21"/>
    <col min="2302" max="2302" width="1.5" style="21" customWidth="1"/>
    <col min="2303" max="2303" width="2.1640625" style="21" customWidth="1"/>
    <col min="2304" max="2304" width="11.33203125" style="21" customWidth="1"/>
    <col min="2305" max="2305" width="28.33203125" style="21" bestFit="1" customWidth="1"/>
    <col min="2306" max="2306" width="28.33203125" style="21" customWidth="1"/>
    <col min="2307" max="2307" width="25.1640625" style="21" customWidth="1"/>
    <col min="2308" max="2308" width="18" style="21" customWidth="1"/>
    <col min="2309" max="2309" width="11" style="21" customWidth="1"/>
    <col min="2310" max="2311" width="24.33203125" style="21" customWidth="1"/>
    <col min="2312" max="2312" width="25" style="21" customWidth="1"/>
    <col min="2313" max="2313" width="13.5" style="21" customWidth="1"/>
    <col min="2314" max="2314" width="11" style="21" customWidth="1"/>
    <col min="2315" max="2315" width="24.83203125" style="21" bestFit="1" customWidth="1"/>
    <col min="2316" max="2317" width="24.83203125" style="21" customWidth="1"/>
    <col min="2318" max="2318" width="15.33203125" style="21" customWidth="1"/>
    <col min="2319" max="2320" width="11.5" style="21" customWidth="1"/>
    <col min="2321" max="2321" width="24.83203125" style="21" bestFit="1" customWidth="1"/>
    <col min="2322" max="2322" width="24.83203125" style="21" customWidth="1"/>
    <col min="2323" max="2323" width="30.5" style="21" customWidth="1"/>
    <col min="2324" max="2324" width="12.1640625" style="21" bestFit="1" customWidth="1"/>
    <col min="2325" max="2325" width="3.5" style="21" customWidth="1"/>
    <col min="2326" max="2330" width="8.83203125" style="21" customWidth="1"/>
    <col min="2331" max="2331" width="2.6640625" style="21" customWidth="1"/>
    <col min="2332" max="2332" width="40.5" style="21" customWidth="1"/>
    <col min="2333" max="2333" width="42.33203125" style="21" customWidth="1"/>
    <col min="2334" max="2385" width="8.83203125" style="21" customWidth="1"/>
    <col min="2386" max="2557" width="8.83203125" style="21"/>
    <col min="2558" max="2558" width="1.5" style="21" customWidth="1"/>
    <col min="2559" max="2559" width="2.1640625" style="21" customWidth="1"/>
    <col min="2560" max="2560" width="11.33203125" style="21" customWidth="1"/>
    <col min="2561" max="2561" width="28.33203125" style="21" bestFit="1" customWidth="1"/>
    <col min="2562" max="2562" width="28.33203125" style="21" customWidth="1"/>
    <col min="2563" max="2563" width="25.1640625" style="21" customWidth="1"/>
    <col min="2564" max="2564" width="18" style="21" customWidth="1"/>
    <col min="2565" max="2565" width="11" style="21" customWidth="1"/>
    <col min="2566" max="2567" width="24.33203125" style="21" customWidth="1"/>
    <col min="2568" max="2568" width="25" style="21" customWidth="1"/>
    <col min="2569" max="2569" width="13.5" style="21" customWidth="1"/>
    <col min="2570" max="2570" width="11" style="21" customWidth="1"/>
    <col min="2571" max="2571" width="24.83203125" style="21" bestFit="1" customWidth="1"/>
    <col min="2572" max="2573" width="24.83203125" style="21" customWidth="1"/>
    <col min="2574" max="2574" width="15.33203125" style="21" customWidth="1"/>
    <col min="2575" max="2576" width="11.5" style="21" customWidth="1"/>
    <col min="2577" max="2577" width="24.83203125" style="21" bestFit="1" customWidth="1"/>
    <col min="2578" max="2578" width="24.83203125" style="21" customWidth="1"/>
    <col min="2579" max="2579" width="30.5" style="21" customWidth="1"/>
    <col min="2580" max="2580" width="12.1640625" style="21" bestFit="1" customWidth="1"/>
    <col min="2581" max="2581" width="3.5" style="21" customWidth="1"/>
    <col min="2582" max="2586" width="8.83203125" style="21" customWidth="1"/>
    <col min="2587" max="2587" width="2.6640625" style="21" customWidth="1"/>
    <col min="2588" max="2588" width="40.5" style="21" customWidth="1"/>
    <col min="2589" max="2589" width="42.33203125" style="21" customWidth="1"/>
    <col min="2590" max="2641" width="8.83203125" style="21" customWidth="1"/>
    <col min="2642" max="2813" width="8.83203125" style="21"/>
    <col min="2814" max="2814" width="1.5" style="21" customWidth="1"/>
    <col min="2815" max="2815" width="2.1640625" style="21" customWidth="1"/>
    <col min="2816" max="2816" width="11.33203125" style="21" customWidth="1"/>
    <col min="2817" max="2817" width="28.33203125" style="21" bestFit="1" customWidth="1"/>
    <col min="2818" max="2818" width="28.33203125" style="21" customWidth="1"/>
    <col min="2819" max="2819" width="25.1640625" style="21" customWidth="1"/>
    <col min="2820" max="2820" width="18" style="21" customWidth="1"/>
    <col min="2821" max="2821" width="11" style="21" customWidth="1"/>
    <col min="2822" max="2823" width="24.33203125" style="21" customWidth="1"/>
    <col min="2824" max="2824" width="25" style="21" customWidth="1"/>
    <col min="2825" max="2825" width="13.5" style="21" customWidth="1"/>
    <col min="2826" max="2826" width="11" style="21" customWidth="1"/>
    <col min="2827" max="2827" width="24.83203125" style="21" bestFit="1" customWidth="1"/>
    <col min="2828" max="2829" width="24.83203125" style="21" customWidth="1"/>
    <col min="2830" max="2830" width="15.33203125" style="21" customWidth="1"/>
    <col min="2831" max="2832" width="11.5" style="21" customWidth="1"/>
    <col min="2833" max="2833" width="24.83203125" style="21" bestFit="1" customWidth="1"/>
    <col min="2834" max="2834" width="24.83203125" style="21" customWidth="1"/>
    <col min="2835" max="2835" width="30.5" style="21" customWidth="1"/>
    <col min="2836" max="2836" width="12.1640625" style="21" bestFit="1" customWidth="1"/>
    <col min="2837" max="2837" width="3.5" style="21" customWidth="1"/>
    <col min="2838" max="2842" width="8.83203125" style="21" customWidth="1"/>
    <col min="2843" max="2843" width="2.6640625" style="21" customWidth="1"/>
    <col min="2844" max="2844" width="40.5" style="21" customWidth="1"/>
    <col min="2845" max="2845" width="42.33203125" style="21" customWidth="1"/>
    <col min="2846" max="2897" width="8.83203125" style="21" customWidth="1"/>
    <col min="2898" max="3069" width="8.83203125" style="21"/>
    <col min="3070" max="3070" width="1.5" style="21" customWidth="1"/>
    <col min="3071" max="3071" width="2.1640625" style="21" customWidth="1"/>
    <col min="3072" max="3072" width="11.33203125" style="21" customWidth="1"/>
    <col min="3073" max="3073" width="28.33203125" style="21" bestFit="1" customWidth="1"/>
    <col min="3074" max="3074" width="28.33203125" style="21" customWidth="1"/>
    <col min="3075" max="3075" width="25.1640625" style="21" customWidth="1"/>
    <col min="3076" max="3076" width="18" style="21" customWidth="1"/>
    <col min="3077" max="3077" width="11" style="21" customWidth="1"/>
    <col min="3078" max="3079" width="24.33203125" style="21" customWidth="1"/>
    <col min="3080" max="3080" width="25" style="21" customWidth="1"/>
    <col min="3081" max="3081" width="13.5" style="21" customWidth="1"/>
    <col min="3082" max="3082" width="11" style="21" customWidth="1"/>
    <col min="3083" max="3083" width="24.83203125" style="21" bestFit="1" customWidth="1"/>
    <col min="3084" max="3085" width="24.83203125" style="21" customWidth="1"/>
    <col min="3086" max="3086" width="15.33203125" style="21" customWidth="1"/>
    <col min="3087" max="3088" width="11.5" style="21" customWidth="1"/>
    <col min="3089" max="3089" width="24.83203125" style="21" bestFit="1" customWidth="1"/>
    <col min="3090" max="3090" width="24.83203125" style="21" customWidth="1"/>
    <col min="3091" max="3091" width="30.5" style="21" customWidth="1"/>
    <col min="3092" max="3092" width="12.1640625" style="21" bestFit="1" customWidth="1"/>
    <col min="3093" max="3093" width="3.5" style="21" customWidth="1"/>
    <col min="3094" max="3098" width="8.83203125" style="21" customWidth="1"/>
    <col min="3099" max="3099" width="2.6640625" style="21" customWidth="1"/>
    <col min="3100" max="3100" width="40.5" style="21" customWidth="1"/>
    <col min="3101" max="3101" width="42.33203125" style="21" customWidth="1"/>
    <col min="3102" max="3153" width="8.83203125" style="21" customWidth="1"/>
    <col min="3154" max="3325" width="8.83203125" style="21"/>
    <col min="3326" max="3326" width="1.5" style="21" customWidth="1"/>
    <col min="3327" max="3327" width="2.1640625" style="21" customWidth="1"/>
    <col min="3328" max="3328" width="11.33203125" style="21" customWidth="1"/>
    <col min="3329" max="3329" width="28.33203125" style="21" bestFit="1" customWidth="1"/>
    <col min="3330" max="3330" width="28.33203125" style="21" customWidth="1"/>
    <col min="3331" max="3331" width="25.1640625" style="21" customWidth="1"/>
    <col min="3332" max="3332" width="18" style="21" customWidth="1"/>
    <col min="3333" max="3333" width="11" style="21" customWidth="1"/>
    <col min="3334" max="3335" width="24.33203125" style="21" customWidth="1"/>
    <col min="3336" max="3336" width="25" style="21" customWidth="1"/>
    <col min="3337" max="3337" width="13.5" style="21" customWidth="1"/>
    <col min="3338" max="3338" width="11" style="21" customWidth="1"/>
    <col min="3339" max="3339" width="24.83203125" style="21" bestFit="1" customWidth="1"/>
    <col min="3340" max="3341" width="24.83203125" style="21" customWidth="1"/>
    <col min="3342" max="3342" width="15.33203125" style="21" customWidth="1"/>
    <col min="3343" max="3344" width="11.5" style="21" customWidth="1"/>
    <col min="3345" max="3345" width="24.83203125" style="21" bestFit="1" customWidth="1"/>
    <col min="3346" max="3346" width="24.83203125" style="21" customWidth="1"/>
    <col min="3347" max="3347" width="30.5" style="21" customWidth="1"/>
    <col min="3348" max="3348" width="12.1640625" style="21" bestFit="1" customWidth="1"/>
    <col min="3349" max="3349" width="3.5" style="21" customWidth="1"/>
    <col min="3350" max="3354" width="8.83203125" style="21" customWidth="1"/>
    <col min="3355" max="3355" width="2.6640625" style="21" customWidth="1"/>
    <col min="3356" max="3356" width="40.5" style="21" customWidth="1"/>
    <col min="3357" max="3357" width="42.33203125" style="21" customWidth="1"/>
    <col min="3358" max="3409" width="8.83203125" style="21" customWidth="1"/>
    <col min="3410" max="3581" width="8.83203125" style="21"/>
    <col min="3582" max="3582" width="1.5" style="21" customWidth="1"/>
    <col min="3583" max="3583" width="2.1640625" style="21" customWidth="1"/>
    <col min="3584" max="3584" width="11.33203125" style="21" customWidth="1"/>
    <col min="3585" max="3585" width="28.33203125" style="21" bestFit="1" customWidth="1"/>
    <col min="3586" max="3586" width="28.33203125" style="21" customWidth="1"/>
    <col min="3587" max="3587" width="25.1640625" style="21" customWidth="1"/>
    <col min="3588" max="3588" width="18" style="21" customWidth="1"/>
    <col min="3589" max="3589" width="11" style="21" customWidth="1"/>
    <col min="3590" max="3591" width="24.33203125" style="21" customWidth="1"/>
    <col min="3592" max="3592" width="25" style="21" customWidth="1"/>
    <col min="3593" max="3593" width="13.5" style="21" customWidth="1"/>
    <col min="3594" max="3594" width="11" style="21" customWidth="1"/>
    <col min="3595" max="3595" width="24.83203125" style="21" bestFit="1" customWidth="1"/>
    <col min="3596" max="3597" width="24.83203125" style="21" customWidth="1"/>
    <col min="3598" max="3598" width="15.33203125" style="21" customWidth="1"/>
    <col min="3599" max="3600" width="11.5" style="21" customWidth="1"/>
    <col min="3601" max="3601" width="24.83203125" style="21" bestFit="1" customWidth="1"/>
    <col min="3602" max="3602" width="24.83203125" style="21" customWidth="1"/>
    <col min="3603" max="3603" width="30.5" style="21" customWidth="1"/>
    <col min="3604" max="3604" width="12.1640625" style="21" bestFit="1" customWidth="1"/>
    <col min="3605" max="3605" width="3.5" style="21" customWidth="1"/>
    <col min="3606" max="3610" width="8.83203125" style="21" customWidth="1"/>
    <col min="3611" max="3611" width="2.6640625" style="21" customWidth="1"/>
    <col min="3612" max="3612" width="40.5" style="21" customWidth="1"/>
    <col min="3613" max="3613" width="42.33203125" style="21" customWidth="1"/>
    <col min="3614" max="3665" width="8.83203125" style="21" customWidth="1"/>
    <col min="3666" max="3837" width="8.83203125" style="21"/>
    <col min="3838" max="3838" width="1.5" style="21" customWidth="1"/>
    <col min="3839" max="3839" width="2.1640625" style="21" customWidth="1"/>
    <col min="3840" max="3840" width="11.33203125" style="21" customWidth="1"/>
    <col min="3841" max="3841" width="28.33203125" style="21" bestFit="1" customWidth="1"/>
    <col min="3842" max="3842" width="28.33203125" style="21" customWidth="1"/>
    <col min="3843" max="3843" width="25.1640625" style="21" customWidth="1"/>
    <col min="3844" max="3844" width="18" style="21" customWidth="1"/>
    <col min="3845" max="3845" width="11" style="21" customWidth="1"/>
    <col min="3846" max="3847" width="24.33203125" style="21" customWidth="1"/>
    <col min="3848" max="3848" width="25" style="21" customWidth="1"/>
    <col min="3849" max="3849" width="13.5" style="21" customWidth="1"/>
    <col min="3850" max="3850" width="11" style="21" customWidth="1"/>
    <col min="3851" max="3851" width="24.83203125" style="21" bestFit="1" customWidth="1"/>
    <col min="3852" max="3853" width="24.83203125" style="21" customWidth="1"/>
    <col min="3854" max="3854" width="15.33203125" style="21" customWidth="1"/>
    <col min="3855" max="3856" width="11.5" style="21" customWidth="1"/>
    <col min="3857" max="3857" width="24.83203125" style="21" bestFit="1" customWidth="1"/>
    <col min="3858" max="3858" width="24.83203125" style="21" customWidth="1"/>
    <col min="3859" max="3859" width="30.5" style="21" customWidth="1"/>
    <col min="3860" max="3860" width="12.1640625" style="21" bestFit="1" customWidth="1"/>
    <col min="3861" max="3861" width="3.5" style="21" customWidth="1"/>
    <col min="3862" max="3866" width="8.83203125" style="21" customWidth="1"/>
    <col min="3867" max="3867" width="2.6640625" style="21" customWidth="1"/>
    <col min="3868" max="3868" width="40.5" style="21" customWidth="1"/>
    <col min="3869" max="3869" width="42.33203125" style="21" customWidth="1"/>
    <col min="3870" max="3921" width="8.83203125" style="21" customWidth="1"/>
    <col min="3922" max="4093" width="8.83203125" style="21"/>
    <col min="4094" max="4094" width="1.5" style="21" customWidth="1"/>
    <col min="4095" max="4095" width="2.1640625" style="21" customWidth="1"/>
    <col min="4096" max="4096" width="11.33203125" style="21" customWidth="1"/>
    <col min="4097" max="4097" width="28.33203125" style="21" bestFit="1" customWidth="1"/>
    <col min="4098" max="4098" width="28.33203125" style="21" customWidth="1"/>
    <col min="4099" max="4099" width="25.1640625" style="21" customWidth="1"/>
    <col min="4100" max="4100" width="18" style="21" customWidth="1"/>
    <col min="4101" max="4101" width="11" style="21" customWidth="1"/>
    <col min="4102" max="4103" width="24.33203125" style="21" customWidth="1"/>
    <col min="4104" max="4104" width="25" style="21" customWidth="1"/>
    <col min="4105" max="4105" width="13.5" style="21" customWidth="1"/>
    <col min="4106" max="4106" width="11" style="21" customWidth="1"/>
    <col min="4107" max="4107" width="24.83203125" style="21" bestFit="1" customWidth="1"/>
    <col min="4108" max="4109" width="24.83203125" style="21" customWidth="1"/>
    <col min="4110" max="4110" width="15.33203125" style="21" customWidth="1"/>
    <col min="4111" max="4112" width="11.5" style="21" customWidth="1"/>
    <col min="4113" max="4113" width="24.83203125" style="21" bestFit="1" customWidth="1"/>
    <col min="4114" max="4114" width="24.83203125" style="21" customWidth="1"/>
    <col min="4115" max="4115" width="30.5" style="21" customWidth="1"/>
    <col min="4116" max="4116" width="12.1640625" style="21" bestFit="1" customWidth="1"/>
    <col min="4117" max="4117" width="3.5" style="21" customWidth="1"/>
    <col min="4118" max="4122" width="8.83203125" style="21" customWidth="1"/>
    <col min="4123" max="4123" width="2.6640625" style="21" customWidth="1"/>
    <col min="4124" max="4124" width="40.5" style="21" customWidth="1"/>
    <col min="4125" max="4125" width="42.33203125" style="21" customWidth="1"/>
    <col min="4126" max="4177" width="8.83203125" style="21" customWidth="1"/>
    <col min="4178" max="4349" width="8.83203125" style="21"/>
    <col min="4350" max="4350" width="1.5" style="21" customWidth="1"/>
    <col min="4351" max="4351" width="2.1640625" style="21" customWidth="1"/>
    <col min="4352" max="4352" width="11.33203125" style="21" customWidth="1"/>
    <col min="4353" max="4353" width="28.33203125" style="21" bestFit="1" customWidth="1"/>
    <col min="4354" max="4354" width="28.33203125" style="21" customWidth="1"/>
    <col min="4355" max="4355" width="25.1640625" style="21" customWidth="1"/>
    <col min="4356" max="4356" width="18" style="21" customWidth="1"/>
    <col min="4357" max="4357" width="11" style="21" customWidth="1"/>
    <col min="4358" max="4359" width="24.33203125" style="21" customWidth="1"/>
    <col min="4360" max="4360" width="25" style="21" customWidth="1"/>
    <col min="4361" max="4361" width="13.5" style="21" customWidth="1"/>
    <col min="4362" max="4362" width="11" style="21" customWidth="1"/>
    <col min="4363" max="4363" width="24.83203125" style="21" bestFit="1" customWidth="1"/>
    <col min="4364" max="4365" width="24.83203125" style="21" customWidth="1"/>
    <col min="4366" max="4366" width="15.33203125" style="21" customWidth="1"/>
    <col min="4367" max="4368" width="11.5" style="21" customWidth="1"/>
    <col min="4369" max="4369" width="24.83203125" style="21" bestFit="1" customWidth="1"/>
    <col min="4370" max="4370" width="24.83203125" style="21" customWidth="1"/>
    <col min="4371" max="4371" width="30.5" style="21" customWidth="1"/>
    <col min="4372" max="4372" width="12.1640625" style="21" bestFit="1" customWidth="1"/>
    <col min="4373" max="4373" width="3.5" style="21" customWidth="1"/>
    <col min="4374" max="4378" width="8.83203125" style="21" customWidth="1"/>
    <col min="4379" max="4379" width="2.6640625" style="21" customWidth="1"/>
    <col min="4380" max="4380" width="40.5" style="21" customWidth="1"/>
    <col min="4381" max="4381" width="42.33203125" style="21" customWidth="1"/>
    <col min="4382" max="4433" width="8.83203125" style="21" customWidth="1"/>
    <col min="4434" max="4605" width="8.83203125" style="21"/>
    <col min="4606" max="4606" width="1.5" style="21" customWidth="1"/>
    <col min="4607" max="4607" width="2.1640625" style="21" customWidth="1"/>
    <col min="4608" max="4608" width="11.33203125" style="21" customWidth="1"/>
    <col min="4609" max="4609" width="28.33203125" style="21" bestFit="1" customWidth="1"/>
    <col min="4610" max="4610" width="28.33203125" style="21" customWidth="1"/>
    <col min="4611" max="4611" width="25.1640625" style="21" customWidth="1"/>
    <col min="4612" max="4612" width="18" style="21" customWidth="1"/>
    <col min="4613" max="4613" width="11" style="21" customWidth="1"/>
    <col min="4614" max="4615" width="24.33203125" style="21" customWidth="1"/>
    <col min="4616" max="4616" width="25" style="21" customWidth="1"/>
    <col min="4617" max="4617" width="13.5" style="21" customWidth="1"/>
    <col min="4618" max="4618" width="11" style="21" customWidth="1"/>
    <col min="4619" max="4619" width="24.83203125" style="21" bestFit="1" customWidth="1"/>
    <col min="4620" max="4621" width="24.83203125" style="21" customWidth="1"/>
    <col min="4622" max="4622" width="15.33203125" style="21" customWidth="1"/>
    <col min="4623" max="4624" width="11.5" style="21" customWidth="1"/>
    <col min="4625" max="4625" width="24.83203125" style="21" bestFit="1" customWidth="1"/>
    <col min="4626" max="4626" width="24.83203125" style="21" customWidth="1"/>
    <col min="4627" max="4627" width="30.5" style="21" customWidth="1"/>
    <col min="4628" max="4628" width="12.1640625" style="21" bestFit="1" customWidth="1"/>
    <col min="4629" max="4629" width="3.5" style="21" customWidth="1"/>
    <col min="4630" max="4634" width="8.83203125" style="21" customWidth="1"/>
    <col min="4635" max="4635" width="2.6640625" style="21" customWidth="1"/>
    <col min="4636" max="4636" width="40.5" style="21" customWidth="1"/>
    <col min="4637" max="4637" width="42.33203125" style="21" customWidth="1"/>
    <col min="4638" max="4689" width="8.83203125" style="21" customWidth="1"/>
    <col min="4690" max="4861" width="8.83203125" style="21"/>
    <col min="4862" max="4862" width="1.5" style="21" customWidth="1"/>
    <col min="4863" max="4863" width="2.1640625" style="21" customWidth="1"/>
    <col min="4864" max="4864" width="11.33203125" style="21" customWidth="1"/>
    <col min="4865" max="4865" width="28.33203125" style="21" bestFit="1" customWidth="1"/>
    <col min="4866" max="4866" width="28.33203125" style="21" customWidth="1"/>
    <col min="4867" max="4867" width="25.1640625" style="21" customWidth="1"/>
    <col min="4868" max="4868" width="18" style="21" customWidth="1"/>
    <col min="4869" max="4869" width="11" style="21" customWidth="1"/>
    <col min="4870" max="4871" width="24.33203125" style="21" customWidth="1"/>
    <col min="4872" max="4872" width="25" style="21" customWidth="1"/>
    <col min="4873" max="4873" width="13.5" style="21" customWidth="1"/>
    <col min="4874" max="4874" width="11" style="21" customWidth="1"/>
    <col min="4875" max="4875" width="24.83203125" style="21" bestFit="1" customWidth="1"/>
    <col min="4876" max="4877" width="24.83203125" style="21" customWidth="1"/>
    <col min="4878" max="4878" width="15.33203125" style="21" customWidth="1"/>
    <col min="4879" max="4880" width="11.5" style="21" customWidth="1"/>
    <col min="4881" max="4881" width="24.83203125" style="21" bestFit="1" customWidth="1"/>
    <col min="4882" max="4882" width="24.83203125" style="21" customWidth="1"/>
    <col min="4883" max="4883" width="30.5" style="21" customWidth="1"/>
    <col min="4884" max="4884" width="12.1640625" style="21" bestFit="1" customWidth="1"/>
    <col min="4885" max="4885" width="3.5" style="21" customWidth="1"/>
    <col min="4886" max="4890" width="8.83203125" style="21" customWidth="1"/>
    <col min="4891" max="4891" width="2.6640625" style="21" customWidth="1"/>
    <col min="4892" max="4892" width="40.5" style="21" customWidth="1"/>
    <col min="4893" max="4893" width="42.33203125" style="21" customWidth="1"/>
    <col min="4894" max="4945" width="8.83203125" style="21" customWidth="1"/>
    <col min="4946" max="5117" width="8.83203125" style="21"/>
    <col min="5118" max="5118" width="1.5" style="21" customWidth="1"/>
    <col min="5119" max="5119" width="2.1640625" style="21" customWidth="1"/>
    <col min="5120" max="5120" width="11.33203125" style="21" customWidth="1"/>
    <col min="5121" max="5121" width="28.33203125" style="21" bestFit="1" customWidth="1"/>
    <col min="5122" max="5122" width="28.33203125" style="21" customWidth="1"/>
    <col min="5123" max="5123" width="25.1640625" style="21" customWidth="1"/>
    <col min="5124" max="5124" width="18" style="21" customWidth="1"/>
    <col min="5125" max="5125" width="11" style="21" customWidth="1"/>
    <col min="5126" max="5127" width="24.33203125" style="21" customWidth="1"/>
    <col min="5128" max="5128" width="25" style="21" customWidth="1"/>
    <col min="5129" max="5129" width="13.5" style="21" customWidth="1"/>
    <col min="5130" max="5130" width="11" style="21" customWidth="1"/>
    <col min="5131" max="5131" width="24.83203125" style="21" bestFit="1" customWidth="1"/>
    <col min="5132" max="5133" width="24.83203125" style="21" customWidth="1"/>
    <col min="5134" max="5134" width="15.33203125" style="21" customWidth="1"/>
    <col min="5135" max="5136" width="11.5" style="21" customWidth="1"/>
    <col min="5137" max="5137" width="24.83203125" style="21" bestFit="1" customWidth="1"/>
    <col min="5138" max="5138" width="24.83203125" style="21" customWidth="1"/>
    <col min="5139" max="5139" width="30.5" style="21" customWidth="1"/>
    <col min="5140" max="5140" width="12.1640625" style="21" bestFit="1" customWidth="1"/>
    <col min="5141" max="5141" width="3.5" style="21" customWidth="1"/>
    <col min="5142" max="5146" width="8.83203125" style="21" customWidth="1"/>
    <col min="5147" max="5147" width="2.6640625" style="21" customWidth="1"/>
    <col min="5148" max="5148" width="40.5" style="21" customWidth="1"/>
    <col min="5149" max="5149" width="42.33203125" style="21" customWidth="1"/>
    <col min="5150" max="5201" width="8.83203125" style="21" customWidth="1"/>
    <col min="5202" max="5373" width="8.83203125" style="21"/>
    <col min="5374" max="5374" width="1.5" style="21" customWidth="1"/>
    <col min="5375" max="5375" width="2.1640625" style="21" customWidth="1"/>
    <col min="5376" max="5376" width="11.33203125" style="21" customWidth="1"/>
    <col min="5377" max="5377" width="28.33203125" style="21" bestFit="1" customWidth="1"/>
    <col min="5378" max="5378" width="28.33203125" style="21" customWidth="1"/>
    <col min="5379" max="5379" width="25.1640625" style="21" customWidth="1"/>
    <col min="5380" max="5380" width="18" style="21" customWidth="1"/>
    <col min="5381" max="5381" width="11" style="21" customWidth="1"/>
    <col min="5382" max="5383" width="24.33203125" style="21" customWidth="1"/>
    <col min="5384" max="5384" width="25" style="21" customWidth="1"/>
    <col min="5385" max="5385" width="13.5" style="21" customWidth="1"/>
    <col min="5386" max="5386" width="11" style="21" customWidth="1"/>
    <col min="5387" max="5387" width="24.83203125" style="21" bestFit="1" customWidth="1"/>
    <col min="5388" max="5389" width="24.83203125" style="21" customWidth="1"/>
    <col min="5390" max="5390" width="15.33203125" style="21" customWidth="1"/>
    <col min="5391" max="5392" width="11.5" style="21" customWidth="1"/>
    <col min="5393" max="5393" width="24.83203125" style="21" bestFit="1" customWidth="1"/>
    <col min="5394" max="5394" width="24.83203125" style="21" customWidth="1"/>
    <col min="5395" max="5395" width="30.5" style="21" customWidth="1"/>
    <col min="5396" max="5396" width="12.1640625" style="21" bestFit="1" customWidth="1"/>
    <col min="5397" max="5397" width="3.5" style="21" customWidth="1"/>
    <col min="5398" max="5402" width="8.83203125" style="21" customWidth="1"/>
    <col min="5403" max="5403" width="2.6640625" style="21" customWidth="1"/>
    <col min="5404" max="5404" width="40.5" style="21" customWidth="1"/>
    <col min="5405" max="5405" width="42.33203125" style="21" customWidth="1"/>
    <col min="5406" max="5457" width="8.83203125" style="21" customWidth="1"/>
    <col min="5458" max="5629" width="8.83203125" style="21"/>
    <col min="5630" max="5630" width="1.5" style="21" customWidth="1"/>
    <col min="5631" max="5631" width="2.1640625" style="21" customWidth="1"/>
    <col min="5632" max="5632" width="11.33203125" style="21" customWidth="1"/>
    <col min="5633" max="5633" width="28.33203125" style="21" bestFit="1" customWidth="1"/>
    <col min="5634" max="5634" width="28.33203125" style="21" customWidth="1"/>
    <col min="5635" max="5635" width="25.1640625" style="21" customWidth="1"/>
    <col min="5636" max="5636" width="18" style="21" customWidth="1"/>
    <col min="5637" max="5637" width="11" style="21" customWidth="1"/>
    <col min="5638" max="5639" width="24.33203125" style="21" customWidth="1"/>
    <col min="5640" max="5640" width="25" style="21" customWidth="1"/>
    <col min="5641" max="5641" width="13.5" style="21" customWidth="1"/>
    <col min="5642" max="5642" width="11" style="21" customWidth="1"/>
    <col min="5643" max="5643" width="24.83203125" style="21" bestFit="1" customWidth="1"/>
    <col min="5644" max="5645" width="24.83203125" style="21" customWidth="1"/>
    <col min="5646" max="5646" width="15.33203125" style="21" customWidth="1"/>
    <col min="5647" max="5648" width="11.5" style="21" customWidth="1"/>
    <col min="5649" max="5649" width="24.83203125" style="21" bestFit="1" customWidth="1"/>
    <col min="5650" max="5650" width="24.83203125" style="21" customWidth="1"/>
    <col min="5651" max="5651" width="30.5" style="21" customWidth="1"/>
    <col min="5652" max="5652" width="12.1640625" style="21" bestFit="1" customWidth="1"/>
    <col min="5653" max="5653" width="3.5" style="21" customWidth="1"/>
    <col min="5654" max="5658" width="8.83203125" style="21" customWidth="1"/>
    <col min="5659" max="5659" width="2.6640625" style="21" customWidth="1"/>
    <col min="5660" max="5660" width="40.5" style="21" customWidth="1"/>
    <col min="5661" max="5661" width="42.33203125" style="21" customWidth="1"/>
    <col min="5662" max="5713" width="8.83203125" style="21" customWidth="1"/>
    <col min="5714" max="5885" width="8.83203125" style="21"/>
    <col min="5886" max="5886" width="1.5" style="21" customWidth="1"/>
    <col min="5887" max="5887" width="2.1640625" style="21" customWidth="1"/>
    <col min="5888" max="5888" width="11.33203125" style="21" customWidth="1"/>
    <col min="5889" max="5889" width="28.33203125" style="21" bestFit="1" customWidth="1"/>
    <col min="5890" max="5890" width="28.33203125" style="21" customWidth="1"/>
    <col min="5891" max="5891" width="25.1640625" style="21" customWidth="1"/>
    <col min="5892" max="5892" width="18" style="21" customWidth="1"/>
    <col min="5893" max="5893" width="11" style="21" customWidth="1"/>
    <col min="5894" max="5895" width="24.33203125" style="21" customWidth="1"/>
    <col min="5896" max="5896" width="25" style="21" customWidth="1"/>
    <col min="5897" max="5897" width="13.5" style="21" customWidth="1"/>
    <col min="5898" max="5898" width="11" style="21" customWidth="1"/>
    <col min="5899" max="5899" width="24.83203125" style="21" bestFit="1" customWidth="1"/>
    <col min="5900" max="5901" width="24.83203125" style="21" customWidth="1"/>
    <col min="5902" max="5902" width="15.33203125" style="21" customWidth="1"/>
    <col min="5903" max="5904" width="11.5" style="21" customWidth="1"/>
    <col min="5905" max="5905" width="24.83203125" style="21" bestFit="1" customWidth="1"/>
    <col min="5906" max="5906" width="24.83203125" style="21" customWidth="1"/>
    <col min="5907" max="5907" width="30.5" style="21" customWidth="1"/>
    <col min="5908" max="5908" width="12.1640625" style="21" bestFit="1" customWidth="1"/>
    <col min="5909" max="5909" width="3.5" style="21" customWidth="1"/>
    <col min="5910" max="5914" width="8.83203125" style="21" customWidth="1"/>
    <col min="5915" max="5915" width="2.6640625" style="21" customWidth="1"/>
    <col min="5916" max="5916" width="40.5" style="21" customWidth="1"/>
    <col min="5917" max="5917" width="42.33203125" style="21" customWidth="1"/>
    <col min="5918" max="5969" width="8.83203125" style="21" customWidth="1"/>
    <col min="5970" max="6141" width="8.83203125" style="21"/>
    <col min="6142" max="6142" width="1.5" style="21" customWidth="1"/>
    <col min="6143" max="6143" width="2.1640625" style="21" customWidth="1"/>
    <col min="6144" max="6144" width="11.33203125" style="21" customWidth="1"/>
    <col min="6145" max="6145" width="28.33203125" style="21" bestFit="1" customWidth="1"/>
    <col min="6146" max="6146" width="28.33203125" style="21" customWidth="1"/>
    <col min="6147" max="6147" width="25.1640625" style="21" customWidth="1"/>
    <col min="6148" max="6148" width="18" style="21" customWidth="1"/>
    <col min="6149" max="6149" width="11" style="21" customWidth="1"/>
    <col min="6150" max="6151" width="24.33203125" style="21" customWidth="1"/>
    <col min="6152" max="6152" width="25" style="21" customWidth="1"/>
    <col min="6153" max="6153" width="13.5" style="21" customWidth="1"/>
    <col min="6154" max="6154" width="11" style="21" customWidth="1"/>
    <col min="6155" max="6155" width="24.83203125" style="21" bestFit="1" customWidth="1"/>
    <col min="6156" max="6157" width="24.83203125" style="21" customWidth="1"/>
    <col min="6158" max="6158" width="15.33203125" style="21" customWidth="1"/>
    <col min="6159" max="6160" width="11.5" style="21" customWidth="1"/>
    <col min="6161" max="6161" width="24.83203125" style="21" bestFit="1" customWidth="1"/>
    <col min="6162" max="6162" width="24.83203125" style="21" customWidth="1"/>
    <col min="6163" max="6163" width="30.5" style="21" customWidth="1"/>
    <col min="6164" max="6164" width="12.1640625" style="21" bestFit="1" customWidth="1"/>
    <col min="6165" max="6165" width="3.5" style="21" customWidth="1"/>
    <col min="6166" max="6170" width="8.83203125" style="21" customWidth="1"/>
    <col min="6171" max="6171" width="2.6640625" style="21" customWidth="1"/>
    <col min="6172" max="6172" width="40.5" style="21" customWidth="1"/>
    <col min="6173" max="6173" width="42.33203125" style="21" customWidth="1"/>
    <col min="6174" max="6225" width="8.83203125" style="21" customWidth="1"/>
    <col min="6226" max="6397" width="8.83203125" style="21"/>
    <col min="6398" max="6398" width="1.5" style="21" customWidth="1"/>
    <col min="6399" max="6399" width="2.1640625" style="21" customWidth="1"/>
    <col min="6400" max="6400" width="11.33203125" style="21" customWidth="1"/>
    <col min="6401" max="6401" width="28.33203125" style="21" bestFit="1" customWidth="1"/>
    <col min="6402" max="6402" width="28.33203125" style="21" customWidth="1"/>
    <col min="6403" max="6403" width="25.1640625" style="21" customWidth="1"/>
    <col min="6404" max="6404" width="18" style="21" customWidth="1"/>
    <col min="6405" max="6405" width="11" style="21" customWidth="1"/>
    <col min="6406" max="6407" width="24.33203125" style="21" customWidth="1"/>
    <col min="6408" max="6408" width="25" style="21" customWidth="1"/>
    <col min="6409" max="6409" width="13.5" style="21" customWidth="1"/>
    <col min="6410" max="6410" width="11" style="21" customWidth="1"/>
    <col min="6411" max="6411" width="24.83203125" style="21" bestFit="1" customWidth="1"/>
    <col min="6412" max="6413" width="24.83203125" style="21" customWidth="1"/>
    <col min="6414" max="6414" width="15.33203125" style="21" customWidth="1"/>
    <col min="6415" max="6416" width="11.5" style="21" customWidth="1"/>
    <col min="6417" max="6417" width="24.83203125" style="21" bestFit="1" customWidth="1"/>
    <col min="6418" max="6418" width="24.83203125" style="21" customWidth="1"/>
    <col min="6419" max="6419" width="30.5" style="21" customWidth="1"/>
    <col min="6420" max="6420" width="12.1640625" style="21" bestFit="1" customWidth="1"/>
    <col min="6421" max="6421" width="3.5" style="21" customWidth="1"/>
    <col min="6422" max="6426" width="8.83203125" style="21" customWidth="1"/>
    <col min="6427" max="6427" width="2.6640625" style="21" customWidth="1"/>
    <col min="6428" max="6428" width="40.5" style="21" customWidth="1"/>
    <col min="6429" max="6429" width="42.33203125" style="21" customWidth="1"/>
    <col min="6430" max="6481" width="8.83203125" style="21" customWidth="1"/>
    <col min="6482" max="6653" width="8.83203125" style="21"/>
    <col min="6654" max="6654" width="1.5" style="21" customWidth="1"/>
    <col min="6655" max="6655" width="2.1640625" style="21" customWidth="1"/>
    <col min="6656" max="6656" width="11.33203125" style="21" customWidth="1"/>
    <col min="6657" max="6657" width="28.33203125" style="21" bestFit="1" customWidth="1"/>
    <col min="6658" max="6658" width="28.33203125" style="21" customWidth="1"/>
    <col min="6659" max="6659" width="25.1640625" style="21" customWidth="1"/>
    <col min="6660" max="6660" width="18" style="21" customWidth="1"/>
    <col min="6661" max="6661" width="11" style="21" customWidth="1"/>
    <col min="6662" max="6663" width="24.33203125" style="21" customWidth="1"/>
    <col min="6664" max="6664" width="25" style="21" customWidth="1"/>
    <col min="6665" max="6665" width="13.5" style="21" customWidth="1"/>
    <col min="6666" max="6666" width="11" style="21" customWidth="1"/>
    <col min="6667" max="6667" width="24.83203125" style="21" bestFit="1" customWidth="1"/>
    <col min="6668" max="6669" width="24.83203125" style="21" customWidth="1"/>
    <col min="6670" max="6670" width="15.33203125" style="21" customWidth="1"/>
    <col min="6671" max="6672" width="11.5" style="21" customWidth="1"/>
    <col min="6673" max="6673" width="24.83203125" style="21" bestFit="1" customWidth="1"/>
    <col min="6674" max="6674" width="24.83203125" style="21" customWidth="1"/>
    <col min="6675" max="6675" width="30.5" style="21" customWidth="1"/>
    <col min="6676" max="6676" width="12.1640625" style="21" bestFit="1" customWidth="1"/>
    <col min="6677" max="6677" width="3.5" style="21" customWidth="1"/>
    <col min="6678" max="6682" width="8.83203125" style="21" customWidth="1"/>
    <col min="6683" max="6683" width="2.6640625" style="21" customWidth="1"/>
    <col min="6684" max="6684" width="40.5" style="21" customWidth="1"/>
    <col min="6685" max="6685" width="42.33203125" style="21" customWidth="1"/>
    <col min="6686" max="6737" width="8.83203125" style="21" customWidth="1"/>
    <col min="6738" max="6909" width="8.83203125" style="21"/>
    <col min="6910" max="6910" width="1.5" style="21" customWidth="1"/>
    <col min="6911" max="6911" width="2.1640625" style="21" customWidth="1"/>
    <col min="6912" max="6912" width="11.33203125" style="21" customWidth="1"/>
    <col min="6913" max="6913" width="28.33203125" style="21" bestFit="1" customWidth="1"/>
    <col min="6914" max="6914" width="28.33203125" style="21" customWidth="1"/>
    <col min="6915" max="6915" width="25.1640625" style="21" customWidth="1"/>
    <col min="6916" max="6916" width="18" style="21" customWidth="1"/>
    <col min="6917" max="6917" width="11" style="21" customWidth="1"/>
    <col min="6918" max="6919" width="24.33203125" style="21" customWidth="1"/>
    <col min="6920" max="6920" width="25" style="21" customWidth="1"/>
    <col min="6921" max="6921" width="13.5" style="21" customWidth="1"/>
    <col min="6922" max="6922" width="11" style="21" customWidth="1"/>
    <col min="6923" max="6923" width="24.83203125" style="21" bestFit="1" customWidth="1"/>
    <col min="6924" max="6925" width="24.83203125" style="21" customWidth="1"/>
    <col min="6926" max="6926" width="15.33203125" style="21" customWidth="1"/>
    <col min="6927" max="6928" width="11.5" style="21" customWidth="1"/>
    <col min="6929" max="6929" width="24.83203125" style="21" bestFit="1" customWidth="1"/>
    <col min="6930" max="6930" width="24.83203125" style="21" customWidth="1"/>
    <col min="6931" max="6931" width="30.5" style="21" customWidth="1"/>
    <col min="6932" max="6932" width="12.1640625" style="21" bestFit="1" customWidth="1"/>
    <col min="6933" max="6933" width="3.5" style="21" customWidth="1"/>
    <col min="6934" max="6938" width="8.83203125" style="21" customWidth="1"/>
    <col min="6939" max="6939" width="2.6640625" style="21" customWidth="1"/>
    <col min="6940" max="6940" width="40.5" style="21" customWidth="1"/>
    <col min="6941" max="6941" width="42.33203125" style="21" customWidth="1"/>
    <col min="6942" max="6993" width="8.83203125" style="21" customWidth="1"/>
    <col min="6994" max="7165" width="8.83203125" style="21"/>
    <col min="7166" max="7166" width="1.5" style="21" customWidth="1"/>
    <col min="7167" max="7167" width="2.1640625" style="21" customWidth="1"/>
    <col min="7168" max="7168" width="11.33203125" style="21" customWidth="1"/>
    <col min="7169" max="7169" width="28.33203125" style="21" bestFit="1" customWidth="1"/>
    <col min="7170" max="7170" width="28.33203125" style="21" customWidth="1"/>
    <col min="7171" max="7171" width="25.1640625" style="21" customWidth="1"/>
    <col min="7172" max="7172" width="18" style="21" customWidth="1"/>
    <col min="7173" max="7173" width="11" style="21" customWidth="1"/>
    <col min="7174" max="7175" width="24.33203125" style="21" customWidth="1"/>
    <col min="7176" max="7176" width="25" style="21" customWidth="1"/>
    <col min="7177" max="7177" width="13.5" style="21" customWidth="1"/>
    <col min="7178" max="7178" width="11" style="21" customWidth="1"/>
    <col min="7179" max="7179" width="24.83203125" style="21" bestFit="1" customWidth="1"/>
    <col min="7180" max="7181" width="24.83203125" style="21" customWidth="1"/>
    <col min="7182" max="7182" width="15.33203125" style="21" customWidth="1"/>
    <col min="7183" max="7184" width="11.5" style="21" customWidth="1"/>
    <col min="7185" max="7185" width="24.83203125" style="21" bestFit="1" customWidth="1"/>
    <col min="7186" max="7186" width="24.83203125" style="21" customWidth="1"/>
    <col min="7187" max="7187" width="30.5" style="21" customWidth="1"/>
    <col min="7188" max="7188" width="12.1640625" style="21" bestFit="1" customWidth="1"/>
    <col min="7189" max="7189" width="3.5" style="21" customWidth="1"/>
    <col min="7190" max="7194" width="8.83203125" style="21" customWidth="1"/>
    <col min="7195" max="7195" width="2.6640625" style="21" customWidth="1"/>
    <col min="7196" max="7196" width="40.5" style="21" customWidth="1"/>
    <col min="7197" max="7197" width="42.33203125" style="21" customWidth="1"/>
    <col min="7198" max="7249" width="8.83203125" style="21" customWidth="1"/>
    <col min="7250" max="7421" width="8.83203125" style="21"/>
    <col min="7422" max="7422" width="1.5" style="21" customWidth="1"/>
    <col min="7423" max="7423" width="2.1640625" style="21" customWidth="1"/>
    <col min="7424" max="7424" width="11.33203125" style="21" customWidth="1"/>
    <col min="7425" max="7425" width="28.33203125" style="21" bestFit="1" customWidth="1"/>
    <col min="7426" max="7426" width="28.33203125" style="21" customWidth="1"/>
    <col min="7427" max="7427" width="25.1640625" style="21" customWidth="1"/>
    <col min="7428" max="7428" width="18" style="21" customWidth="1"/>
    <col min="7429" max="7429" width="11" style="21" customWidth="1"/>
    <col min="7430" max="7431" width="24.33203125" style="21" customWidth="1"/>
    <col min="7432" max="7432" width="25" style="21" customWidth="1"/>
    <col min="7433" max="7433" width="13.5" style="21" customWidth="1"/>
    <col min="7434" max="7434" width="11" style="21" customWidth="1"/>
    <col min="7435" max="7435" width="24.83203125" style="21" bestFit="1" customWidth="1"/>
    <col min="7436" max="7437" width="24.83203125" style="21" customWidth="1"/>
    <col min="7438" max="7438" width="15.33203125" style="21" customWidth="1"/>
    <col min="7439" max="7440" width="11.5" style="21" customWidth="1"/>
    <col min="7441" max="7441" width="24.83203125" style="21" bestFit="1" customWidth="1"/>
    <col min="7442" max="7442" width="24.83203125" style="21" customWidth="1"/>
    <col min="7443" max="7443" width="30.5" style="21" customWidth="1"/>
    <col min="7444" max="7444" width="12.1640625" style="21" bestFit="1" customWidth="1"/>
    <col min="7445" max="7445" width="3.5" style="21" customWidth="1"/>
    <col min="7446" max="7450" width="8.83203125" style="21" customWidth="1"/>
    <col min="7451" max="7451" width="2.6640625" style="21" customWidth="1"/>
    <col min="7452" max="7452" width="40.5" style="21" customWidth="1"/>
    <col min="7453" max="7453" width="42.33203125" style="21" customWidth="1"/>
    <col min="7454" max="7505" width="8.83203125" style="21" customWidth="1"/>
    <col min="7506" max="7677" width="8.83203125" style="21"/>
    <col min="7678" max="7678" width="1.5" style="21" customWidth="1"/>
    <col min="7679" max="7679" width="2.1640625" style="21" customWidth="1"/>
    <col min="7680" max="7680" width="11.33203125" style="21" customWidth="1"/>
    <col min="7681" max="7681" width="28.33203125" style="21" bestFit="1" customWidth="1"/>
    <col min="7682" max="7682" width="28.33203125" style="21" customWidth="1"/>
    <col min="7683" max="7683" width="25.1640625" style="21" customWidth="1"/>
    <col min="7684" max="7684" width="18" style="21" customWidth="1"/>
    <col min="7685" max="7685" width="11" style="21" customWidth="1"/>
    <col min="7686" max="7687" width="24.33203125" style="21" customWidth="1"/>
    <col min="7688" max="7688" width="25" style="21" customWidth="1"/>
    <col min="7689" max="7689" width="13.5" style="21" customWidth="1"/>
    <col min="7690" max="7690" width="11" style="21" customWidth="1"/>
    <col min="7691" max="7691" width="24.83203125" style="21" bestFit="1" customWidth="1"/>
    <col min="7692" max="7693" width="24.83203125" style="21" customWidth="1"/>
    <col min="7694" max="7694" width="15.33203125" style="21" customWidth="1"/>
    <col min="7695" max="7696" width="11.5" style="21" customWidth="1"/>
    <col min="7697" max="7697" width="24.83203125" style="21" bestFit="1" customWidth="1"/>
    <col min="7698" max="7698" width="24.83203125" style="21" customWidth="1"/>
    <col min="7699" max="7699" width="30.5" style="21" customWidth="1"/>
    <col min="7700" max="7700" width="12.1640625" style="21" bestFit="1" customWidth="1"/>
    <col min="7701" max="7701" width="3.5" style="21" customWidth="1"/>
    <col min="7702" max="7706" width="8.83203125" style="21" customWidth="1"/>
    <col min="7707" max="7707" width="2.6640625" style="21" customWidth="1"/>
    <col min="7708" max="7708" width="40.5" style="21" customWidth="1"/>
    <col min="7709" max="7709" width="42.33203125" style="21" customWidth="1"/>
    <col min="7710" max="7761" width="8.83203125" style="21" customWidth="1"/>
    <col min="7762" max="7933" width="8.83203125" style="21"/>
    <col min="7934" max="7934" width="1.5" style="21" customWidth="1"/>
    <col min="7935" max="7935" width="2.1640625" style="21" customWidth="1"/>
    <col min="7936" max="7936" width="11.33203125" style="21" customWidth="1"/>
    <col min="7937" max="7937" width="28.33203125" style="21" bestFit="1" customWidth="1"/>
    <col min="7938" max="7938" width="28.33203125" style="21" customWidth="1"/>
    <col min="7939" max="7939" width="25.1640625" style="21" customWidth="1"/>
    <col min="7940" max="7940" width="18" style="21" customWidth="1"/>
    <col min="7941" max="7941" width="11" style="21" customWidth="1"/>
    <col min="7942" max="7943" width="24.33203125" style="21" customWidth="1"/>
    <col min="7944" max="7944" width="25" style="21" customWidth="1"/>
    <col min="7945" max="7945" width="13.5" style="21" customWidth="1"/>
    <col min="7946" max="7946" width="11" style="21" customWidth="1"/>
    <col min="7947" max="7947" width="24.83203125" style="21" bestFit="1" customWidth="1"/>
    <col min="7948" max="7949" width="24.83203125" style="21" customWidth="1"/>
    <col min="7950" max="7950" width="15.33203125" style="21" customWidth="1"/>
    <col min="7951" max="7952" width="11.5" style="21" customWidth="1"/>
    <col min="7953" max="7953" width="24.83203125" style="21" bestFit="1" customWidth="1"/>
    <col min="7954" max="7954" width="24.83203125" style="21" customWidth="1"/>
    <col min="7955" max="7955" width="30.5" style="21" customWidth="1"/>
    <col min="7956" max="7956" width="12.1640625" style="21" bestFit="1" customWidth="1"/>
    <col min="7957" max="7957" width="3.5" style="21" customWidth="1"/>
    <col min="7958" max="7962" width="8.83203125" style="21" customWidth="1"/>
    <col min="7963" max="7963" width="2.6640625" style="21" customWidth="1"/>
    <col min="7964" max="7964" width="40.5" style="21" customWidth="1"/>
    <col min="7965" max="7965" width="42.33203125" style="21" customWidth="1"/>
    <col min="7966" max="8017" width="8.83203125" style="21" customWidth="1"/>
    <col min="8018" max="8189" width="8.83203125" style="21"/>
    <col min="8190" max="8190" width="1.5" style="21" customWidth="1"/>
    <col min="8191" max="8191" width="2.1640625" style="21" customWidth="1"/>
    <col min="8192" max="8192" width="11.33203125" style="21" customWidth="1"/>
    <col min="8193" max="8193" width="28.33203125" style="21" bestFit="1" customWidth="1"/>
    <col min="8194" max="8194" width="28.33203125" style="21" customWidth="1"/>
    <col min="8195" max="8195" width="25.1640625" style="21" customWidth="1"/>
    <col min="8196" max="8196" width="18" style="21" customWidth="1"/>
    <col min="8197" max="8197" width="11" style="21" customWidth="1"/>
    <col min="8198" max="8199" width="24.33203125" style="21" customWidth="1"/>
    <col min="8200" max="8200" width="25" style="21" customWidth="1"/>
    <col min="8201" max="8201" width="13.5" style="21" customWidth="1"/>
    <col min="8202" max="8202" width="11" style="21" customWidth="1"/>
    <col min="8203" max="8203" width="24.83203125" style="21" bestFit="1" customWidth="1"/>
    <col min="8204" max="8205" width="24.83203125" style="21" customWidth="1"/>
    <col min="8206" max="8206" width="15.33203125" style="21" customWidth="1"/>
    <col min="8207" max="8208" width="11.5" style="21" customWidth="1"/>
    <col min="8209" max="8209" width="24.83203125" style="21" bestFit="1" customWidth="1"/>
    <col min="8210" max="8210" width="24.83203125" style="21" customWidth="1"/>
    <col min="8211" max="8211" width="30.5" style="21" customWidth="1"/>
    <col min="8212" max="8212" width="12.1640625" style="21" bestFit="1" customWidth="1"/>
    <col min="8213" max="8213" width="3.5" style="21" customWidth="1"/>
    <col min="8214" max="8218" width="8.83203125" style="21" customWidth="1"/>
    <col min="8219" max="8219" width="2.6640625" style="21" customWidth="1"/>
    <col min="8220" max="8220" width="40.5" style="21" customWidth="1"/>
    <col min="8221" max="8221" width="42.33203125" style="21" customWidth="1"/>
    <col min="8222" max="8273" width="8.83203125" style="21" customWidth="1"/>
    <col min="8274" max="8445" width="8.83203125" style="21"/>
    <col min="8446" max="8446" width="1.5" style="21" customWidth="1"/>
    <col min="8447" max="8447" width="2.1640625" style="21" customWidth="1"/>
    <col min="8448" max="8448" width="11.33203125" style="21" customWidth="1"/>
    <col min="8449" max="8449" width="28.33203125" style="21" bestFit="1" customWidth="1"/>
    <col min="8450" max="8450" width="28.33203125" style="21" customWidth="1"/>
    <col min="8451" max="8451" width="25.1640625" style="21" customWidth="1"/>
    <col min="8452" max="8452" width="18" style="21" customWidth="1"/>
    <col min="8453" max="8453" width="11" style="21" customWidth="1"/>
    <col min="8454" max="8455" width="24.33203125" style="21" customWidth="1"/>
    <col min="8456" max="8456" width="25" style="21" customWidth="1"/>
    <col min="8457" max="8457" width="13.5" style="21" customWidth="1"/>
    <col min="8458" max="8458" width="11" style="21" customWidth="1"/>
    <col min="8459" max="8459" width="24.83203125" style="21" bestFit="1" customWidth="1"/>
    <col min="8460" max="8461" width="24.83203125" style="21" customWidth="1"/>
    <col min="8462" max="8462" width="15.33203125" style="21" customWidth="1"/>
    <col min="8463" max="8464" width="11.5" style="21" customWidth="1"/>
    <col min="8465" max="8465" width="24.83203125" style="21" bestFit="1" customWidth="1"/>
    <col min="8466" max="8466" width="24.83203125" style="21" customWidth="1"/>
    <col min="8467" max="8467" width="30.5" style="21" customWidth="1"/>
    <col min="8468" max="8468" width="12.1640625" style="21" bestFit="1" customWidth="1"/>
    <col min="8469" max="8469" width="3.5" style="21" customWidth="1"/>
    <col min="8470" max="8474" width="8.83203125" style="21" customWidth="1"/>
    <col min="8475" max="8475" width="2.6640625" style="21" customWidth="1"/>
    <col min="8476" max="8476" width="40.5" style="21" customWidth="1"/>
    <col min="8477" max="8477" width="42.33203125" style="21" customWidth="1"/>
    <col min="8478" max="8529" width="8.83203125" style="21" customWidth="1"/>
    <col min="8530" max="8701" width="8.83203125" style="21"/>
    <col min="8702" max="8702" width="1.5" style="21" customWidth="1"/>
    <col min="8703" max="8703" width="2.1640625" style="21" customWidth="1"/>
    <col min="8704" max="8704" width="11.33203125" style="21" customWidth="1"/>
    <col min="8705" max="8705" width="28.33203125" style="21" bestFit="1" customWidth="1"/>
    <col min="8706" max="8706" width="28.33203125" style="21" customWidth="1"/>
    <col min="8707" max="8707" width="25.1640625" style="21" customWidth="1"/>
    <col min="8708" max="8708" width="18" style="21" customWidth="1"/>
    <col min="8709" max="8709" width="11" style="21" customWidth="1"/>
    <col min="8710" max="8711" width="24.33203125" style="21" customWidth="1"/>
    <col min="8712" max="8712" width="25" style="21" customWidth="1"/>
    <col min="8713" max="8713" width="13.5" style="21" customWidth="1"/>
    <col min="8714" max="8714" width="11" style="21" customWidth="1"/>
    <col min="8715" max="8715" width="24.83203125" style="21" bestFit="1" customWidth="1"/>
    <col min="8716" max="8717" width="24.83203125" style="21" customWidth="1"/>
    <col min="8718" max="8718" width="15.33203125" style="21" customWidth="1"/>
    <col min="8719" max="8720" width="11.5" style="21" customWidth="1"/>
    <col min="8721" max="8721" width="24.83203125" style="21" bestFit="1" customWidth="1"/>
    <col min="8722" max="8722" width="24.83203125" style="21" customWidth="1"/>
    <col min="8723" max="8723" width="30.5" style="21" customWidth="1"/>
    <col min="8724" max="8724" width="12.1640625" style="21" bestFit="1" customWidth="1"/>
    <col min="8725" max="8725" width="3.5" style="21" customWidth="1"/>
    <col min="8726" max="8730" width="8.83203125" style="21" customWidth="1"/>
    <col min="8731" max="8731" width="2.6640625" style="21" customWidth="1"/>
    <col min="8732" max="8732" width="40.5" style="21" customWidth="1"/>
    <col min="8733" max="8733" width="42.33203125" style="21" customWidth="1"/>
    <col min="8734" max="8785" width="8.83203125" style="21" customWidth="1"/>
    <col min="8786" max="8957" width="8.83203125" style="21"/>
    <col min="8958" max="8958" width="1.5" style="21" customWidth="1"/>
    <col min="8959" max="8959" width="2.1640625" style="21" customWidth="1"/>
    <col min="8960" max="8960" width="11.33203125" style="21" customWidth="1"/>
    <col min="8961" max="8961" width="28.33203125" style="21" bestFit="1" customWidth="1"/>
    <col min="8962" max="8962" width="28.33203125" style="21" customWidth="1"/>
    <col min="8963" max="8963" width="25.1640625" style="21" customWidth="1"/>
    <col min="8964" max="8964" width="18" style="21" customWidth="1"/>
    <col min="8965" max="8965" width="11" style="21" customWidth="1"/>
    <col min="8966" max="8967" width="24.33203125" style="21" customWidth="1"/>
    <col min="8968" max="8968" width="25" style="21" customWidth="1"/>
    <col min="8969" max="8969" width="13.5" style="21" customWidth="1"/>
    <col min="8970" max="8970" width="11" style="21" customWidth="1"/>
    <col min="8971" max="8971" width="24.83203125" style="21" bestFit="1" customWidth="1"/>
    <col min="8972" max="8973" width="24.83203125" style="21" customWidth="1"/>
    <col min="8974" max="8974" width="15.33203125" style="21" customWidth="1"/>
    <col min="8975" max="8976" width="11.5" style="21" customWidth="1"/>
    <col min="8977" max="8977" width="24.83203125" style="21" bestFit="1" customWidth="1"/>
    <col min="8978" max="8978" width="24.83203125" style="21" customWidth="1"/>
    <col min="8979" max="8979" width="30.5" style="21" customWidth="1"/>
    <col min="8980" max="8980" width="12.1640625" style="21" bestFit="1" customWidth="1"/>
    <col min="8981" max="8981" width="3.5" style="21" customWidth="1"/>
    <col min="8982" max="8986" width="8.83203125" style="21" customWidth="1"/>
    <col min="8987" max="8987" width="2.6640625" style="21" customWidth="1"/>
    <col min="8988" max="8988" width="40.5" style="21" customWidth="1"/>
    <col min="8989" max="8989" width="42.33203125" style="21" customWidth="1"/>
    <col min="8990" max="9041" width="8.83203125" style="21" customWidth="1"/>
    <col min="9042" max="9213" width="8.83203125" style="21"/>
    <col min="9214" max="9214" width="1.5" style="21" customWidth="1"/>
    <col min="9215" max="9215" width="2.1640625" style="21" customWidth="1"/>
    <col min="9216" max="9216" width="11.33203125" style="21" customWidth="1"/>
    <col min="9217" max="9217" width="28.33203125" style="21" bestFit="1" customWidth="1"/>
    <col min="9218" max="9218" width="28.33203125" style="21" customWidth="1"/>
    <col min="9219" max="9219" width="25.1640625" style="21" customWidth="1"/>
    <col min="9220" max="9220" width="18" style="21" customWidth="1"/>
    <col min="9221" max="9221" width="11" style="21" customWidth="1"/>
    <col min="9222" max="9223" width="24.33203125" style="21" customWidth="1"/>
    <col min="9224" max="9224" width="25" style="21" customWidth="1"/>
    <col min="9225" max="9225" width="13.5" style="21" customWidth="1"/>
    <col min="9226" max="9226" width="11" style="21" customWidth="1"/>
    <col min="9227" max="9227" width="24.83203125" style="21" bestFit="1" customWidth="1"/>
    <col min="9228" max="9229" width="24.83203125" style="21" customWidth="1"/>
    <col min="9230" max="9230" width="15.33203125" style="21" customWidth="1"/>
    <col min="9231" max="9232" width="11.5" style="21" customWidth="1"/>
    <col min="9233" max="9233" width="24.83203125" style="21" bestFit="1" customWidth="1"/>
    <col min="9234" max="9234" width="24.83203125" style="21" customWidth="1"/>
    <col min="9235" max="9235" width="30.5" style="21" customWidth="1"/>
    <col min="9236" max="9236" width="12.1640625" style="21" bestFit="1" customWidth="1"/>
    <col min="9237" max="9237" width="3.5" style="21" customWidth="1"/>
    <col min="9238" max="9242" width="8.83203125" style="21" customWidth="1"/>
    <col min="9243" max="9243" width="2.6640625" style="21" customWidth="1"/>
    <col min="9244" max="9244" width="40.5" style="21" customWidth="1"/>
    <col min="9245" max="9245" width="42.33203125" style="21" customWidth="1"/>
    <col min="9246" max="9297" width="8.83203125" style="21" customWidth="1"/>
    <col min="9298" max="9469" width="8.83203125" style="21"/>
    <col min="9470" max="9470" width="1.5" style="21" customWidth="1"/>
    <col min="9471" max="9471" width="2.1640625" style="21" customWidth="1"/>
    <col min="9472" max="9472" width="11.33203125" style="21" customWidth="1"/>
    <col min="9473" max="9473" width="28.33203125" style="21" bestFit="1" customWidth="1"/>
    <col min="9474" max="9474" width="28.33203125" style="21" customWidth="1"/>
    <col min="9475" max="9475" width="25.1640625" style="21" customWidth="1"/>
    <col min="9476" max="9476" width="18" style="21" customWidth="1"/>
    <col min="9477" max="9477" width="11" style="21" customWidth="1"/>
    <col min="9478" max="9479" width="24.33203125" style="21" customWidth="1"/>
    <col min="9480" max="9480" width="25" style="21" customWidth="1"/>
    <col min="9481" max="9481" width="13.5" style="21" customWidth="1"/>
    <col min="9482" max="9482" width="11" style="21" customWidth="1"/>
    <col min="9483" max="9483" width="24.83203125" style="21" bestFit="1" customWidth="1"/>
    <col min="9484" max="9485" width="24.83203125" style="21" customWidth="1"/>
    <col min="9486" max="9486" width="15.33203125" style="21" customWidth="1"/>
    <col min="9487" max="9488" width="11.5" style="21" customWidth="1"/>
    <col min="9489" max="9489" width="24.83203125" style="21" bestFit="1" customWidth="1"/>
    <col min="9490" max="9490" width="24.83203125" style="21" customWidth="1"/>
    <col min="9491" max="9491" width="30.5" style="21" customWidth="1"/>
    <col min="9492" max="9492" width="12.1640625" style="21" bestFit="1" customWidth="1"/>
    <col min="9493" max="9493" width="3.5" style="21" customWidth="1"/>
    <col min="9494" max="9498" width="8.83203125" style="21" customWidth="1"/>
    <col min="9499" max="9499" width="2.6640625" style="21" customWidth="1"/>
    <col min="9500" max="9500" width="40.5" style="21" customWidth="1"/>
    <col min="9501" max="9501" width="42.33203125" style="21" customWidth="1"/>
    <col min="9502" max="9553" width="8.83203125" style="21" customWidth="1"/>
    <col min="9554" max="9725" width="8.83203125" style="21"/>
    <col min="9726" max="9726" width="1.5" style="21" customWidth="1"/>
    <col min="9727" max="9727" width="2.1640625" style="21" customWidth="1"/>
    <col min="9728" max="9728" width="11.33203125" style="21" customWidth="1"/>
    <col min="9729" max="9729" width="28.33203125" style="21" bestFit="1" customWidth="1"/>
    <col min="9730" max="9730" width="28.33203125" style="21" customWidth="1"/>
    <col min="9731" max="9731" width="25.1640625" style="21" customWidth="1"/>
    <col min="9732" max="9732" width="18" style="21" customWidth="1"/>
    <col min="9733" max="9733" width="11" style="21" customWidth="1"/>
    <col min="9734" max="9735" width="24.33203125" style="21" customWidth="1"/>
    <col min="9736" max="9736" width="25" style="21" customWidth="1"/>
    <col min="9737" max="9737" width="13.5" style="21" customWidth="1"/>
    <col min="9738" max="9738" width="11" style="21" customWidth="1"/>
    <col min="9739" max="9739" width="24.83203125" style="21" bestFit="1" customWidth="1"/>
    <col min="9740" max="9741" width="24.83203125" style="21" customWidth="1"/>
    <col min="9742" max="9742" width="15.33203125" style="21" customWidth="1"/>
    <col min="9743" max="9744" width="11.5" style="21" customWidth="1"/>
    <col min="9745" max="9745" width="24.83203125" style="21" bestFit="1" customWidth="1"/>
    <col min="9746" max="9746" width="24.83203125" style="21" customWidth="1"/>
    <col min="9747" max="9747" width="30.5" style="21" customWidth="1"/>
    <col min="9748" max="9748" width="12.1640625" style="21" bestFit="1" customWidth="1"/>
    <col min="9749" max="9749" width="3.5" style="21" customWidth="1"/>
    <col min="9750" max="9754" width="8.83203125" style="21" customWidth="1"/>
    <col min="9755" max="9755" width="2.6640625" style="21" customWidth="1"/>
    <col min="9756" max="9756" width="40.5" style="21" customWidth="1"/>
    <col min="9757" max="9757" width="42.33203125" style="21" customWidth="1"/>
    <col min="9758" max="9809" width="8.83203125" style="21" customWidth="1"/>
    <col min="9810" max="9981" width="8.83203125" style="21"/>
    <col min="9982" max="9982" width="1.5" style="21" customWidth="1"/>
    <col min="9983" max="9983" width="2.1640625" style="21" customWidth="1"/>
    <col min="9984" max="9984" width="11.33203125" style="21" customWidth="1"/>
    <col min="9985" max="9985" width="28.33203125" style="21" bestFit="1" customWidth="1"/>
    <col min="9986" max="9986" width="28.33203125" style="21" customWidth="1"/>
    <col min="9987" max="9987" width="25.1640625" style="21" customWidth="1"/>
    <col min="9988" max="9988" width="18" style="21" customWidth="1"/>
    <col min="9989" max="9989" width="11" style="21" customWidth="1"/>
    <col min="9990" max="9991" width="24.33203125" style="21" customWidth="1"/>
    <col min="9992" max="9992" width="25" style="21" customWidth="1"/>
    <col min="9993" max="9993" width="13.5" style="21" customWidth="1"/>
    <col min="9994" max="9994" width="11" style="21" customWidth="1"/>
    <col min="9995" max="9995" width="24.83203125" style="21" bestFit="1" customWidth="1"/>
    <col min="9996" max="9997" width="24.83203125" style="21" customWidth="1"/>
    <col min="9998" max="9998" width="15.33203125" style="21" customWidth="1"/>
    <col min="9999" max="10000" width="11.5" style="21" customWidth="1"/>
    <col min="10001" max="10001" width="24.83203125" style="21" bestFit="1" customWidth="1"/>
    <col min="10002" max="10002" width="24.83203125" style="21" customWidth="1"/>
    <col min="10003" max="10003" width="30.5" style="21" customWidth="1"/>
    <col min="10004" max="10004" width="12.1640625" style="21" bestFit="1" customWidth="1"/>
    <col min="10005" max="10005" width="3.5" style="21" customWidth="1"/>
    <col min="10006" max="10010" width="8.83203125" style="21" customWidth="1"/>
    <col min="10011" max="10011" width="2.6640625" style="21" customWidth="1"/>
    <col min="10012" max="10012" width="40.5" style="21" customWidth="1"/>
    <col min="10013" max="10013" width="42.33203125" style="21" customWidth="1"/>
    <col min="10014" max="10065" width="8.83203125" style="21" customWidth="1"/>
    <col min="10066" max="10237" width="8.83203125" style="21"/>
    <col min="10238" max="10238" width="1.5" style="21" customWidth="1"/>
    <col min="10239" max="10239" width="2.1640625" style="21" customWidth="1"/>
    <col min="10240" max="10240" width="11.33203125" style="21" customWidth="1"/>
    <col min="10241" max="10241" width="28.33203125" style="21" bestFit="1" customWidth="1"/>
    <col min="10242" max="10242" width="28.33203125" style="21" customWidth="1"/>
    <col min="10243" max="10243" width="25.1640625" style="21" customWidth="1"/>
    <col min="10244" max="10244" width="18" style="21" customWidth="1"/>
    <col min="10245" max="10245" width="11" style="21" customWidth="1"/>
    <col min="10246" max="10247" width="24.33203125" style="21" customWidth="1"/>
    <col min="10248" max="10248" width="25" style="21" customWidth="1"/>
    <col min="10249" max="10249" width="13.5" style="21" customWidth="1"/>
    <col min="10250" max="10250" width="11" style="21" customWidth="1"/>
    <col min="10251" max="10251" width="24.83203125" style="21" bestFit="1" customWidth="1"/>
    <col min="10252" max="10253" width="24.83203125" style="21" customWidth="1"/>
    <col min="10254" max="10254" width="15.33203125" style="21" customWidth="1"/>
    <col min="10255" max="10256" width="11.5" style="21" customWidth="1"/>
    <col min="10257" max="10257" width="24.83203125" style="21" bestFit="1" customWidth="1"/>
    <col min="10258" max="10258" width="24.83203125" style="21" customWidth="1"/>
    <col min="10259" max="10259" width="30.5" style="21" customWidth="1"/>
    <col min="10260" max="10260" width="12.1640625" style="21" bestFit="1" customWidth="1"/>
    <col min="10261" max="10261" width="3.5" style="21" customWidth="1"/>
    <col min="10262" max="10266" width="8.83203125" style="21" customWidth="1"/>
    <col min="10267" max="10267" width="2.6640625" style="21" customWidth="1"/>
    <col min="10268" max="10268" width="40.5" style="21" customWidth="1"/>
    <col min="10269" max="10269" width="42.33203125" style="21" customWidth="1"/>
    <col min="10270" max="10321" width="8.83203125" style="21" customWidth="1"/>
    <col min="10322" max="10493" width="8.83203125" style="21"/>
    <col min="10494" max="10494" width="1.5" style="21" customWidth="1"/>
    <col min="10495" max="10495" width="2.1640625" style="21" customWidth="1"/>
    <col min="10496" max="10496" width="11.33203125" style="21" customWidth="1"/>
    <col min="10497" max="10497" width="28.33203125" style="21" bestFit="1" customWidth="1"/>
    <col min="10498" max="10498" width="28.33203125" style="21" customWidth="1"/>
    <col min="10499" max="10499" width="25.1640625" style="21" customWidth="1"/>
    <col min="10500" max="10500" width="18" style="21" customWidth="1"/>
    <col min="10501" max="10501" width="11" style="21" customWidth="1"/>
    <col min="10502" max="10503" width="24.33203125" style="21" customWidth="1"/>
    <col min="10504" max="10504" width="25" style="21" customWidth="1"/>
    <col min="10505" max="10505" width="13.5" style="21" customWidth="1"/>
    <col min="10506" max="10506" width="11" style="21" customWidth="1"/>
    <col min="10507" max="10507" width="24.83203125" style="21" bestFit="1" customWidth="1"/>
    <col min="10508" max="10509" width="24.83203125" style="21" customWidth="1"/>
    <col min="10510" max="10510" width="15.33203125" style="21" customWidth="1"/>
    <col min="10511" max="10512" width="11.5" style="21" customWidth="1"/>
    <col min="10513" max="10513" width="24.83203125" style="21" bestFit="1" customWidth="1"/>
    <col min="10514" max="10514" width="24.83203125" style="21" customWidth="1"/>
    <col min="10515" max="10515" width="30.5" style="21" customWidth="1"/>
    <col min="10516" max="10516" width="12.1640625" style="21" bestFit="1" customWidth="1"/>
    <col min="10517" max="10517" width="3.5" style="21" customWidth="1"/>
    <col min="10518" max="10522" width="8.83203125" style="21" customWidth="1"/>
    <col min="10523" max="10523" width="2.6640625" style="21" customWidth="1"/>
    <col min="10524" max="10524" width="40.5" style="21" customWidth="1"/>
    <col min="10525" max="10525" width="42.33203125" style="21" customWidth="1"/>
    <col min="10526" max="10577" width="8.83203125" style="21" customWidth="1"/>
    <col min="10578" max="10749" width="8.83203125" style="21"/>
    <col min="10750" max="10750" width="1.5" style="21" customWidth="1"/>
    <col min="10751" max="10751" width="2.1640625" style="21" customWidth="1"/>
    <col min="10752" max="10752" width="11.33203125" style="21" customWidth="1"/>
    <col min="10753" max="10753" width="28.33203125" style="21" bestFit="1" customWidth="1"/>
    <col min="10754" max="10754" width="28.33203125" style="21" customWidth="1"/>
    <col min="10755" max="10755" width="25.1640625" style="21" customWidth="1"/>
    <col min="10756" max="10756" width="18" style="21" customWidth="1"/>
    <col min="10757" max="10757" width="11" style="21" customWidth="1"/>
    <col min="10758" max="10759" width="24.33203125" style="21" customWidth="1"/>
    <col min="10760" max="10760" width="25" style="21" customWidth="1"/>
    <col min="10761" max="10761" width="13.5" style="21" customWidth="1"/>
    <col min="10762" max="10762" width="11" style="21" customWidth="1"/>
    <col min="10763" max="10763" width="24.83203125" style="21" bestFit="1" customWidth="1"/>
    <col min="10764" max="10765" width="24.83203125" style="21" customWidth="1"/>
    <col min="10766" max="10766" width="15.33203125" style="21" customWidth="1"/>
    <col min="10767" max="10768" width="11.5" style="21" customWidth="1"/>
    <col min="10769" max="10769" width="24.83203125" style="21" bestFit="1" customWidth="1"/>
    <col min="10770" max="10770" width="24.83203125" style="21" customWidth="1"/>
    <col min="10771" max="10771" width="30.5" style="21" customWidth="1"/>
    <col min="10772" max="10772" width="12.1640625" style="21" bestFit="1" customWidth="1"/>
    <col min="10773" max="10773" width="3.5" style="21" customWidth="1"/>
    <col min="10774" max="10778" width="8.83203125" style="21" customWidth="1"/>
    <col min="10779" max="10779" width="2.6640625" style="21" customWidth="1"/>
    <col min="10780" max="10780" width="40.5" style="21" customWidth="1"/>
    <col min="10781" max="10781" width="42.33203125" style="21" customWidth="1"/>
    <col min="10782" max="10833" width="8.83203125" style="21" customWidth="1"/>
    <col min="10834" max="11005" width="8.83203125" style="21"/>
    <col min="11006" max="11006" width="1.5" style="21" customWidth="1"/>
    <col min="11007" max="11007" width="2.1640625" style="21" customWidth="1"/>
    <col min="11008" max="11008" width="11.33203125" style="21" customWidth="1"/>
    <col min="11009" max="11009" width="28.33203125" style="21" bestFit="1" customWidth="1"/>
    <col min="11010" max="11010" width="28.33203125" style="21" customWidth="1"/>
    <col min="11011" max="11011" width="25.1640625" style="21" customWidth="1"/>
    <col min="11012" max="11012" width="18" style="21" customWidth="1"/>
    <col min="11013" max="11013" width="11" style="21" customWidth="1"/>
    <col min="11014" max="11015" width="24.33203125" style="21" customWidth="1"/>
    <col min="11016" max="11016" width="25" style="21" customWidth="1"/>
    <col min="11017" max="11017" width="13.5" style="21" customWidth="1"/>
    <col min="11018" max="11018" width="11" style="21" customWidth="1"/>
    <col min="11019" max="11019" width="24.83203125" style="21" bestFit="1" customWidth="1"/>
    <col min="11020" max="11021" width="24.83203125" style="21" customWidth="1"/>
    <col min="11022" max="11022" width="15.33203125" style="21" customWidth="1"/>
    <col min="11023" max="11024" width="11.5" style="21" customWidth="1"/>
    <col min="11025" max="11025" width="24.83203125" style="21" bestFit="1" customWidth="1"/>
    <col min="11026" max="11026" width="24.83203125" style="21" customWidth="1"/>
    <col min="11027" max="11027" width="30.5" style="21" customWidth="1"/>
    <col min="11028" max="11028" width="12.1640625" style="21" bestFit="1" customWidth="1"/>
    <col min="11029" max="11029" width="3.5" style="21" customWidth="1"/>
    <col min="11030" max="11034" width="8.83203125" style="21" customWidth="1"/>
    <col min="11035" max="11035" width="2.6640625" style="21" customWidth="1"/>
    <col min="11036" max="11036" width="40.5" style="21" customWidth="1"/>
    <col min="11037" max="11037" width="42.33203125" style="21" customWidth="1"/>
    <col min="11038" max="11089" width="8.83203125" style="21" customWidth="1"/>
    <col min="11090" max="11261" width="8.83203125" style="21"/>
    <col min="11262" max="11262" width="1.5" style="21" customWidth="1"/>
    <col min="11263" max="11263" width="2.1640625" style="21" customWidth="1"/>
    <col min="11264" max="11264" width="11.33203125" style="21" customWidth="1"/>
    <col min="11265" max="11265" width="28.33203125" style="21" bestFit="1" customWidth="1"/>
    <col min="11266" max="11266" width="28.33203125" style="21" customWidth="1"/>
    <col min="11267" max="11267" width="25.1640625" style="21" customWidth="1"/>
    <col min="11268" max="11268" width="18" style="21" customWidth="1"/>
    <col min="11269" max="11269" width="11" style="21" customWidth="1"/>
    <col min="11270" max="11271" width="24.33203125" style="21" customWidth="1"/>
    <col min="11272" max="11272" width="25" style="21" customWidth="1"/>
    <col min="11273" max="11273" width="13.5" style="21" customWidth="1"/>
    <col min="11274" max="11274" width="11" style="21" customWidth="1"/>
    <col min="11275" max="11275" width="24.83203125" style="21" bestFit="1" customWidth="1"/>
    <col min="11276" max="11277" width="24.83203125" style="21" customWidth="1"/>
    <col min="11278" max="11278" width="15.33203125" style="21" customWidth="1"/>
    <col min="11279" max="11280" width="11.5" style="21" customWidth="1"/>
    <col min="11281" max="11281" width="24.83203125" style="21" bestFit="1" customWidth="1"/>
    <col min="11282" max="11282" width="24.83203125" style="21" customWidth="1"/>
    <col min="11283" max="11283" width="30.5" style="21" customWidth="1"/>
    <col min="11284" max="11284" width="12.1640625" style="21" bestFit="1" customWidth="1"/>
    <col min="11285" max="11285" width="3.5" style="21" customWidth="1"/>
    <col min="11286" max="11290" width="8.83203125" style="21" customWidth="1"/>
    <col min="11291" max="11291" width="2.6640625" style="21" customWidth="1"/>
    <col min="11292" max="11292" width="40.5" style="21" customWidth="1"/>
    <col min="11293" max="11293" width="42.33203125" style="21" customWidth="1"/>
    <col min="11294" max="11345" width="8.83203125" style="21" customWidth="1"/>
    <col min="11346" max="11517" width="8.83203125" style="21"/>
    <col min="11518" max="11518" width="1.5" style="21" customWidth="1"/>
    <col min="11519" max="11519" width="2.1640625" style="21" customWidth="1"/>
    <col min="11520" max="11520" width="11.33203125" style="21" customWidth="1"/>
    <col min="11521" max="11521" width="28.33203125" style="21" bestFit="1" customWidth="1"/>
    <col min="11522" max="11522" width="28.33203125" style="21" customWidth="1"/>
    <col min="11523" max="11523" width="25.1640625" style="21" customWidth="1"/>
    <col min="11524" max="11524" width="18" style="21" customWidth="1"/>
    <col min="11525" max="11525" width="11" style="21" customWidth="1"/>
    <col min="11526" max="11527" width="24.33203125" style="21" customWidth="1"/>
    <col min="11528" max="11528" width="25" style="21" customWidth="1"/>
    <col min="11529" max="11529" width="13.5" style="21" customWidth="1"/>
    <col min="11530" max="11530" width="11" style="21" customWidth="1"/>
    <col min="11531" max="11531" width="24.83203125" style="21" bestFit="1" customWidth="1"/>
    <col min="11532" max="11533" width="24.83203125" style="21" customWidth="1"/>
    <col min="11534" max="11534" width="15.33203125" style="21" customWidth="1"/>
    <col min="11535" max="11536" width="11.5" style="21" customWidth="1"/>
    <col min="11537" max="11537" width="24.83203125" style="21" bestFit="1" customWidth="1"/>
    <col min="11538" max="11538" width="24.83203125" style="21" customWidth="1"/>
    <col min="11539" max="11539" width="30.5" style="21" customWidth="1"/>
    <col min="11540" max="11540" width="12.1640625" style="21" bestFit="1" customWidth="1"/>
    <col min="11541" max="11541" width="3.5" style="21" customWidth="1"/>
    <col min="11542" max="11546" width="8.83203125" style="21" customWidth="1"/>
    <col min="11547" max="11547" width="2.6640625" style="21" customWidth="1"/>
    <col min="11548" max="11548" width="40.5" style="21" customWidth="1"/>
    <col min="11549" max="11549" width="42.33203125" style="21" customWidth="1"/>
    <col min="11550" max="11601" width="8.83203125" style="21" customWidth="1"/>
    <col min="11602" max="11773" width="8.83203125" style="21"/>
    <col min="11774" max="11774" width="1.5" style="21" customWidth="1"/>
    <col min="11775" max="11775" width="2.1640625" style="21" customWidth="1"/>
    <col min="11776" max="11776" width="11.33203125" style="21" customWidth="1"/>
    <col min="11777" max="11777" width="28.33203125" style="21" bestFit="1" customWidth="1"/>
    <col min="11778" max="11778" width="28.33203125" style="21" customWidth="1"/>
    <col min="11779" max="11779" width="25.1640625" style="21" customWidth="1"/>
    <col min="11780" max="11780" width="18" style="21" customWidth="1"/>
    <col min="11781" max="11781" width="11" style="21" customWidth="1"/>
    <col min="11782" max="11783" width="24.33203125" style="21" customWidth="1"/>
    <col min="11784" max="11784" width="25" style="21" customWidth="1"/>
    <col min="11785" max="11785" width="13.5" style="21" customWidth="1"/>
    <col min="11786" max="11786" width="11" style="21" customWidth="1"/>
    <col min="11787" max="11787" width="24.83203125" style="21" bestFit="1" customWidth="1"/>
    <col min="11788" max="11789" width="24.83203125" style="21" customWidth="1"/>
    <col min="11790" max="11790" width="15.33203125" style="21" customWidth="1"/>
    <col min="11791" max="11792" width="11.5" style="21" customWidth="1"/>
    <col min="11793" max="11793" width="24.83203125" style="21" bestFit="1" customWidth="1"/>
    <col min="11794" max="11794" width="24.83203125" style="21" customWidth="1"/>
    <col min="11795" max="11795" width="30.5" style="21" customWidth="1"/>
    <col min="11796" max="11796" width="12.1640625" style="21" bestFit="1" customWidth="1"/>
    <col min="11797" max="11797" width="3.5" style="21" customWidth="1"/>
    <col min="11798" max="11802" width="8.83203125" style="21" customWidth="1"/>
    <col min="11803" max="11803" width="2.6640625" style="21" customWidth="1"/>
    <col min="11804" max="11804" width="40.5" style="21" customWidth="1"/>
    <col min="11805" max="11805" width="42.33203125" style="21" customWidth="1"/>
    <col min="11806" max="11857" width="8.83203125" style="21" customWidth="1"/>
    <col min="11858" max="12029" width="8.83203125" style="21"/>
    <col min="12030" max="12030" width="1.5" style="21" customWidth="1"/>
    <col min="12031" max="12031" width="2.1640625" style="21" customWidth="1"/>
    <col min="12032" max="12032" width="11.33203125" style="21" customWidth="1"/>
    <col min="12033" max="12033" width="28.33203125" style="21" bestFit="1" customWidth="1"/>
    <col min="12034" max="12034" width="28.33203125" style="21" customWidth="1"/>
    <col min="12035" max="12035" width="25.1640625" style="21" customWidth="1"/>
    <col min="12036" max="12036" width="18" style="21" customWidth="1"/>
    <col min="12037" max="12037" width="11" style="21" customWidth="1"/>
    <col min="12038" max="12039" width="24.33203125" style="21" customWidth="1"/>
    <col min="12040" max="12040" width="25" style="21" customWidth="1"/>
    <col min="12041" max="12041" width="13.5" style="21" customWidth="1"/>
    <col min="12042" max="12042" width="11" style="21" customWidth="1"/>
    <col min="12043" max="12043" width="24.83203125" style="21" bestFit="1" customWidth="1"/>
    <col min="12044" max="12045" width="24.83203125" style="21" customWidth="1"/>
    <col min="12046" max="12046" width="15.33203125" style="21" customWidth="1"/>
    <col min="12047" max="12048" width="11.5" style="21" customWidth="1"/>
    <col min="12049" max="12049" width="24.83203125" style="21" bestFit="1" customWidth="1"/>
    <col min="12050" max="12050" width="24.83203125" style="21" customWidth="1"/>
    <col min="12051" max="12051" width="30.5" style="21" customWidth="1"/>
    <col min="12052" max="12052" width="12.1640625" style="21" bestFit="1" customWidth="1"/>
    <col min="12053" max="12053" width="3.5" style="21" customWidth="1"/>
    <col min="12054" max="12058" width="8.83203125" style="21" customWidth="1"/>
    <col min="12059" max="12059" width="2.6640625" style="21" customWidth="1"/>
    <col min="12060" max="12060" width="40.5" style="21" customWidth="1"/>
    <col min="12061" max="12061" width="42.33203125" style="21" customWidth="1"/>
    <col min="12062" max="12113" width="8.83203125" style="21" customWidth="1"/>
    <col min="12114" max="12285" width="8.83203125" style="21"/>
    <col min="12286" max="12286" width="1.5" style="21" customWidth="1"/>
    <col min="12287" max="12287" width="2.1640625" style="21" customWidth="1"/>
    <col min="12288" max="12288" width="11.33203125" style="21" customWidth="1"/>
    <col min="12289" max="12289" width="28.33203125" style="21" bestFit="1" customWidth="1"/>
    <col min="12290" max="12290" width="28.33203125" style="21" customWidth="1"/>
    <col min="12291" max="12291" width="25.1640625" style="21" customWidth="1"/>
    <col min="12292" max="12292" width="18" style="21" customWidth="1"/>
    <col min="12293" max="12293" width="11" style="21" customWidth="1"/>
    <col min="12294" max="12295" width="24.33203125" style="21" customWidth="1"/>
    <col min="12296" max="12296" width="25" style="21" customWidth="1"/>
    <col min="12297" max="12297" width="13.5" style="21" customWidth="1"/>
    <col min="12298" max="12298" width="11" style="21" customWidth="1"/>
    <col min="12299" max="12299" width="24.83203125" style="21" bestFit="1" customWidth="1"/>
    <col min="12300" max="12301" width="24.83203125" style="21" customWidth="1"/>
    <col min="12302" max="12302" width="15.33203125" style="21" customWidth="1"/>
    <col min="12303" max="12304" width="11.5" style="21" customWidth="1"/>
    <col min="12305" max="12305" width="24.83203125" style="21" bestFit="1" customWidth="1"/>
    <col min="12306" max="12306" width="24.83203125" style="21" customWidth="1"/>
    <col min="12307" max="12307" width="30.5" style="21" customWidth="1"/>
    <col min="12308" max="12308" width="12.1640625" style="21" bestFit="1" customWidth="1"/>
    <col min="12309" max="12309" width="3.5" style="21" customWidth="1"/>
    <col min="12310" max="12314" width="8.83203125" style="21" customWidth="1"/>
    <col min="12315" max="12315" width="2.6640625" style="21" customWidth="1"/>
    <col min="12316" max="12316" width="40.5" style="21" customWidth="1"/>
    <col min="12317" max="12317" width="42.33203125" style="21" customWidth="1"/>
    <col min="12318" max="12369" width="8.83203125" style="21" customWidth="1"/>
    <col min="12370" max="12541" width="8.83203125" style="21"/>
    <col min="12542" max="12542" width="1.5" style="21" customWidth="1"/>
    <col min="12543" max="12543" width="2.1640625" style="21" customWidth="1"/>
    <col min="12544" max="12544" width="11.33203125" style="21" customWidth="1"/>
    <col min="12545" max="12545" width="28.33203125" style="21" bestFit="1" customWidth="1"/>
    <col min="12546" max="12546" width="28.33203125" style="21" customWidth="1"/>
    <col min="12547" max="12547" width="25.1640625" style="21" customWidth="1"/>
    <col min="12548" max="12548" width="18" style="21" customWidth="1"/>
    <col min="12549" max="12549" width="11" style="21" customWidth="1"/>
    <col min="12550" max="12551" width="24.33203125" style="21" customWidth="1"/>
    <col min="12552" max="12552" width="25" style="21" customWidth="1"/>
    <col min="12553" max="12553" width="13.5" style="21" customWidth="1"/>
    <col min="12554" max="12554" width="11" style="21" customWidth="1"/>
    <col min="12555" max="12555" width="24.83203125" style="21" bestFit="1" customWidth="1"/>
    <col min="12556" max="12557" width="24.83203125" style="21" customWidth="1"/>
    <col min="12558" max="12558" width="15.33203125" style="21" customWidth="1"/>
    <col min="12559" max="12560" width="11.5" style="21" customWidth="1"/>
    <col min="12561" max="12561" width="24.83203125" style="21" bestFit="1" customWidth="1"/>
    <col min="12562" max="12562" width="24.83203125" style="21" customWidth="1"/>
    <col min="12563" max="12563" width="30.5" style="21" customWidth="1"/>
    <col min="12564" max="12564" width="12.1640625" style="21" bestFit="1" customWidth="1"/>
    <col min="12565" max="12565" width="3.5" style="21" customWidth="1"/>
    <col min="12566" max="12570" width="8.83203125" style="21" customWidth="1"/>
    <col min="12571" max="12571" width="2.6640625" style="21" customWidth="1"/>
    <col min="12572" max="12572" width="40.5" style="21" customWidth="1"/>
    <col min="12573" max="12573" width="42.33203125" style="21" customWidth="1"/>
    <col min="12574" max="12625" width="8.83203125" style="21" customWidth="1"/>
    <col min="12626" max="12797" width="8.83203125" style="21"/>
    <col min="12798" max="12798" width="1.5" style="21" customWidth="1"/>
    <col min="12799" max="12799" width="2.1640625" style="21" customWidth="1"/>
    <col min="12800" max="12800" width="11.33203125" style="21" customWidth="1"/>
    <col min="12801" max="12801" width="28.33203125" style="21" bestFit="1" customWidth="1"/>
    <col min="12802" max="12802" width="28.33203125" style="21" customWidth="1"/>
    <col min="12803" max="12803" width="25.1640625" style="21" customWidth="1"/>
    <col min="12804" max="12804" width="18" style="21" customWidth="1"/>
    <col min="12805" max="12805" width="11" style="21" customWidth="1"/>
    <col min="12806" max="12807" width="24.33203125" style="21" customWidth="1"/>
    <col min="12808" max="12808" width="25" style="21" customWidth="1"/>
    <col min="12809" max="12809" width="13.5" style="21" customWidth="1"/>
    <col min="12810" max="12810" width="11" style="21" customWidth="1"/>
    <col min="12811" max="12811" width="24.83203125" style="21" bestFit="1" customWidth="1"/>
    <col min="12812" max="12813" width="24.83203125" style="21" customWidth="1"/>
    <col min="12814" max="12814" width="15.33203125" style="21" customWidth="1"/>
    <col min="12815" max="12816" width="11.5" style="21" customWidth="1"/>
    <col min="12817" max="12817" width="24.83203125" style="21" bestFit="1" customWidth="1"/>
    <col min="12818" max="12818" width="24.83203125" style="21" customWidth="1"/>
    <col min="12819" max="12819" width="30.5" style="21" customWidth="1"/>
    <col min="12820" max="12820" width="12.1640625" style="21" bestFit="1" customWidth="1"/>
    <col min="12821" max="12821" width="3.5" style="21" customWidth="1"/>
    <col min="12822" max="12826" width="8.83203125" style="21" customWidth="1"/>
    <col min="12827" max="12827" width="2.6640625" style="21" customWidth="1"/>
    <col min="12828" max="12828" width="40.5" style="21" customWidth="1"/>
    <col min="12829" max="12829" width="42.33203125" style="21" customWidth="1"/>
    <col min="12830" max="12881" width="8.83203125" style="21" customWidth="1"/>
    <col min="12882" max="13053" width="8.83203125" style="21"/>
    <col min="13054" max="13054" width="1.5" style="21" customWidth="1"/>
    <col min="13055" max="13055" width="2.1640625" style="21" customWidth="1"/>
    <col min="13056" max="13056" width="11.33203125" style="21" customWidth="1"/>
    <col min="13057" max="13057" width="28.33203125" style="21" bestFit="1" customWidth="1"/>
    <col min="13058" max="13058" width="28.33203125" style="21" customWidth="1"/>
    <col min="13059" max="13059" width="25.1640625" style="21" customWidth="1"/>
    <col min="13060" max="13060" width="18" style="21" customWidth="1"/>
    <col min="13061" max="13061" width="11" style="21" customWidth="1"/>
    <col min="13062" max="13063" width="24.33203125" style="21" customWidth="1"/>
    <col min="13064" max="13064" width="25" style="21" customWidth="1"/>
    <col min="13065" max="13065" width="13.5" style="21" customWidth="1"/>
    <col min="13066" max="13066" width="11" style="21" customWidth="1"/>
    <col min="13067" max="13067" width="24.83203125" style="21" bestFit="1" customWidth="1"/>
    <col min="13068" max="13069" width="24.83203125" style="21" customWidth="1"/>
    <col min="13070" max="13070" width="15.33203125" style="21" customWidth="1"/>
    <col min="13071" max="13072" width="11.5" style="21" customWidth="1"/>
    <col min="13073" max="13073" width="24.83203125" style="21" bestFit="1" customWidth="1"/>
    <col min="13074" max="13074" width="24.83203125" style="21" customWidth="1"/>
    <col min="13075" max="13075" width="30.5" style="21" customWidth="1"/>
    <col min="13076" max="13076" width="12.1640625" style="21" bestFit="1" customWidth="1"/>
    <col min="13077" max="13077" width="3.5" style="21" customWidth="1"/>
    <col min="13078" max="13082" width="8.83203125" style="21" customWidth="1"/>
    <col min="13083" max="13083" width="2.6640625" style="21" customWidth="1"/>
    <col min="13084" max="13084" width="40.5" style="21" customWidth="1"/>
    <col min="13085" max="13085" width="42.33203125" style="21" customWidth="1"/>
    <col min="13086" max="13137" width="8.83203125" style="21" customWidth="1"/>
    <col min="13138" max="13309" width="8.83203125" style="21"/>
    <col min="13310" max="13310" width="1.5" style="21" customWidth="1"/>
    <col min="13311" max="13311" width="2.1640625" style="21" customWidth="1"/>
    <col min="13312" max="13312" width="11.33203125" style="21" customWidth="1"/>
    <col min="13313" max="13313" width="28.33203125" style="21" bestFit="1" customWidth="1"/>
    <col min="13314" max="13314" width="28.33203125" style="21" customWidth="1"/>
    <col min="13315" max="13315" width="25.1640625" style="21" customWidth="1"/>
    <col min="13316" max="13316" width="18" style="21" customWidth="1"/>
    <col min="13317" max="13317" width="11" style="21" customWidth="1"/>
    <col min="13318" max="13319" width="24.33203125" style="21" customWidth="1"/>
    <col min="13320" max="13320" width="25" style="21" customWidth="1"/>
    <col min="13321" max="13321" width="13.5" style="21" customWidth="1"/>
    <col min="13322" max="13322" width="11" style="21" customWidth="1"/>
    <col min="13323" max="13323" width="24.83203125" style="21" bestFit="1" customWidth="1"/>
    <col min="13324" max="13325" width="24.83203125" style="21" customWidth="1"/>
    <col min="13326" max="13326" width="15.33203125" style="21" customWidth="1"/>
    <col min="13327" max="13328" width="11.5" style="21" customWidth="1"/>
    <col min="13329" max="13329" width="24.83203125" style="21" bestFit="1" customWidth="1"/>
    <col min="13330" max="13330" width="24.83203125" style="21" customWidth="1"/>
    <col min="13331" max="13331" width="30.5" style="21" customWidth="1"/>
    <col min="13332" max="13332" width="12.1640625" style="21" bestFit="1" customWidth="1"/>
    <col min="13333" max="13333" width="3.5" style="21" customWidth="1"/>
    <col min="13334" max="13338" width="8.83203125" style="21" customWidth="1"/>
    <col min="13339" max="13339" width="2.6640625" style="21" customWidth="1"/>
    <col min="13340" max="13340" width="40.5" style="21" customWidth="1"/>
    <col min="13341" max="13341" width="42.33203125" style="21" customWidth="1"/>
    <col min="13342" max="13393" width="8.83203125" style="21" customWidth="1"/>
    <col min="13394" max="13565" width="8.83203125" style="21"/>
    <col min="13566" max="13566" width="1.5" style="21" customWidth="1"/>
    <col min="13567" max="13567" width="2.1640625" style="21" customWidth="1"/>
    <col min="13568" max="13568" width="11.33203125" style="21" customWidth="1"/>
    <col min="13569" max="13569" width="28.33203125" style="21" bestFit="1" customWidth="1"/>
    <col min="13570" max="13570" width="28.33203125" style="21" customWidth="1"/>
    <col min="13571" max="13571" width="25.1640625" style="21" customWidth="1"/>
    <col min="13572" max="13572" width="18" style="21" customWidth="1"/>
    <col min="13573" max="13573" width="11" style="21" customWidth="1"/>
    <col min="13574" max="13575" width="24.33203125" style="21" customWidth="1"/>
    <col min="13576" max="13576" width="25" style="21" customWidth="1"/>
    <col min="13577" max="13577" width="13.5" style="21" customWidth="1"/>
    <col min="13578" max="13578" width="11" style="21" customWidth="1"/>
    <col min="13579" max="13579" width="24.83203125" style="21" bestFit="1" customWidth="1"/>
    <col min="13580" max="13581" width="24.83203125" style="21" customWidth="1"/>
    <col min="13582" max="13582" width="15.33203125" style="21" customWidth="1"/>
    <col min="13583" max="13584" width="11.5" style="21" customWidth="1"/>
    <col min="13585" max="13585" width="24.83203125" style="21" bestFit="1" customWidth="1"/>
    <col min="13586" max="13586" width="24.83203125" style="21" customWidth="1"/>
    <col min="13587" max="13587" width="30.5" style="21" customWidth="1"/>
    <col min="13588" max="13588" width="12.1640625" style="21" bestFit="1" customWidth="1"/>
    <col min="13589" max="13589" width="3.5" style="21" customWidth="1"/>
    <col min="13590" max="13594" width="8.83203125" style="21" customWidth="1"/>
    <col min="13595" max="13595" width="2.6640625" style="21" customWidth="1"/>
    <col min="13596" max="13596" width="40.5" style="21" customWidth="1"/>
    <col min="13597" max="13597" width="42.33203125" style="21" customWidth="1"/>
    <col min="13598" max="13649" width="8.83203125" style="21" customWidth="1"/>
    <col min="13650" max="13821" width="8.83203125" style="21"/>
    <col min="13822" max="13822" width="1.5" style="21" customWidth="1"/>
    <col min="13823" max="13823" width="2.1640625" style="21" customWidth="1"/>
    <col min="13824" max="13824" width="11.33203125" style="21" customWidth="1"/>
    <col min="13825" max="13825" width="28.33203125" style="21" bestFit="1" customWidth="1"/>
    <col min="13826" max="13826" width="28.33203125" style="21" customWidth="1"/>
    <col min="13827" max="13827" width="25.1640625" style="21" customWidth="1"/>
    <col min="13828" max="13828" width="18" style="21" customWidth="1"/>
    <col min="13829" max="13829" width="11" style="21" customWidth="1"/>
    <col min="13830" max="13831" width="24.33203125" style="21" customWidth="1"/>
    <col min="13832" max="13832" width="25" style="21" customWidth="1"/>
    <col min="13833" max="13833" width="13.5" style="21" customWidth="1"/>
    <col min="13834" max="13834" width="11" style="21" customWidth="1"/>
    <col min="13835" max="13835" width="24.83203125" style="21" bestFit="1" customWidth="1"/>
    <col min="13836" max="13837" width="24.83203125" style="21" customWidth="1"/>
    <col min="13838" max="13838" width="15.33203125" style="21" customWidth="1"/>
    <col min="13839" max="13840" width="11.5" style="21" customWidth="1"/>
    <col min="13841" max="13841" width="24.83203125" style="21" bestFit="1" customWidth="1"/>
    <col min="13842" max="13842" width="24.83203125" style="21" customWidth="1"/>
    <col min="13843" max="13843" width="30.5" style="21" customWidth="1"/>
    <col min="13844" max="13844" width="12.1640625" style="21" bestFit="1" customWidth="1"/>
    <col min="13845" max="13845" width="3.5" style="21" customWidth="1"/>
    <col min="13846" max="13850" width="8.83203125" style="21" customWidth="1"/>
    <col min="13851" max="13851" width="2.6640625" style="21" customWidth="1"/>
    <col min="13852" max="13852" width="40.5" style="21" customWidth="1"/>
    <col min="13853" max="13853" width="42.33203125" style="21" customWidth="1"/>
    <col min="13854" max="13905" width="8.83203125" style="21" customWidth="1"/>
    <col min="13906" max="14077" width="8.83203125" style="21"/>
    <col min="14078" max="14078" width="1.5" style="21" customWidth="1"/>
    <col min="14079" max="14079" width="2.1640625" style="21" customWidth="1"/>
    <col min="14080" max="14080" width="11.33203125" style="21" customWidth="1"/>
    <col min="14081" max="14081" width="28.33203125" style="21" bestFit="1" customWidth="1"/>
    <col min="14082" max="14082" width="28.33203125" style="21" customWidth="1"/>
    <col min="14083" max="14083" width="25.1640625" style="21" customWidth="1"/>
    <col min="14084" max="14084" width="18" style="21" customWidth="1"/>
    <col min="14085" max="14085" width="11" style="21" customWidth="1"/>
    <col min="14086" max="14087" width="24.33203125" style="21" customWidth="1"/>
    <col min="14088" max="14088" width="25" style="21" customWidth="1"/>
    <col min="14089" max="14089" width="13.5" style="21" customWidth="1"/>
    <col min="14090" max="14090" width="11" style="21" customWidth="1"/>
    <col min="14091" max="14091" width="24.83203125" style="21" bestFit="1" customWidth="1"/>
    <col min="14092" max="14093" width="24.83203125" style="21" customWidth="1"/>
    <col min="14094" max="14094" width="15.33203125" style="21" customWidth="1"/>
    <col min="14095" max="14096" width="11.5" style="21" customWidth="1"/>
    <col min="14097" max="14097" width="24.83203125" style="21" bestFit="1" customWidth="1"/>
    <col min="14098" max="14098" width="24.83203125" style="21" customWidth="1"/>
    <col min="14099" max="14099" width="30.5" style="21" customWidth="1"/>
    <col min="14100" max="14100" width="12.1640625" style="21" bestFit="1" customWidth="1"/>
    <col min="14101" max="14101" width="3.5" style="21" customWidth="1"/>
    <col min="14102" max="14106" width="8.83203125" style="21" customWidth="1"/>
    <col min="14107" max="14107" width="2.6640625" style="21" customWidth="1"/>
    <col min="14108" max="14108" width="40.5" style="21" customWidth="1"/>
    <col min="14109" max="14109" width="42.33203125" style="21" customWidth="1"/>
    <col min="14110" max="14161" width="8.83203125" style="21" customWidth="1"/>
    <col min="14162" max="14333" width="8.83203125" style="21"/>
    <col min="14334" max="14334" width="1.5" style="21" customWidth="1"/>
    <col min="14335" max="14335" width="2.1640625" style="21" customWidth="1"/>
    <col min="14336" max="14336" width="11.33203125" style="21" customWidth="1"/>
    <col min="14337" max="14337" width="28.33203125" style="21" bestFit="1" customWidth="1"/>
    <col min="14338" max="14338" width="28.33203125" style="21" customWidth="1"/>
    <col min="14339" max="14339" width="25.1640625" style="21" customWidth="1"/>
    <col min="14340" max="14340" width="18" style="21" customWidth="1"/>
    <col min="14341" max="14341" width="11" style="21" customWidth="1"/>
    <col min="14342" max="14343" width="24.33203125" style="21" customWidth="1"/>
    <col min="14344" max="14344" width="25" style="21" customWidth="1"/>
    <col min="14345" max="14345" width="13.5" style="21" customWidth="1"/>
    <col min="14346" max="14346" width="11" style="21" customWidth="1"/>
    <col min="14347" max="14347" width="24.83203125" style="21" bestFit="1" customWidth="1"/>
    <col min="14348" max="14349" width="24.83203125" style="21" customWidth="1"/>
    <col min="14350" max="14350" width="15.33203125" style="21" customWidth="1"/>
    <col min="14351" max="14352" width="11.5" style="21" customWidth="1"/>
    <col min="14353" max="14353" width="24.83203125" style="21" bestFit="1" customWidth="1"/>
    <col min="14354" max="14354" width="24.83203125" style="21" customWidth="1"/>
    <col min="14355" max="14355" width="30.5" style="21" customWidth="1"/>
    <col min="14356" max="14356" width="12.1640625" style="21" bestFit="1" customWidth="1"/>
    <col min="14357" max="14357" width="3.5" style="21" customWidth="1"/>
    <col min="14358" max="14362" width="8.83203125" style="21" customWidth="1"/>
    <col min="14363" max="14363" width="2.6640625" style="21" customWidth="1"/>
    <col min="14364" max="14364" width="40.5" style="21" customWidth="1"/>
    <col min="14365" max="14365" width="42.33203125" style="21" customWidth="1"/>
    <col min="14366" max="14417" width="8.83203125" style="21" customWidth="1"/>
    <col min="14418" max="14589" width="8.83203125" style="21"/>
    <col min="14590" max="14590" width="1.5" style="21" customWidth="1"/>
    <col min="14591" max="14591" width="2.1640625" style="21" customWidth="1"/>
    <col min="14592" max="14592" width="11.33203125" style="21" customWidth="1"/>
    <col min="14593" max="14593" width="28.33203125" style="21" bestFit="1" customWidth="1"/>
    <col min="14594" max="14594" width="28.33203125" style="21" customWidth="1"/>
    <col min="14595" max="14595" width="25.1640625" style="21" customWidth="1"/>
    <col min="14596" max="14596" width="18" style="21" customWidth="1"/>
    <col min="14597" max="14597" width="11" style="21" customWidth="1"/>
    <col min="14598" max="14599" width="24.33203125" style="21" customWidth="1"/>
    <col min="14600" max="14600" width="25" style="21" customWidth="1"/>
    <col min="14601" max="14601" width="13.5" style="21" customWidth="1"/>
    <col min="14602" max="14602" width="11" style="21" customWidth="1"/>
    <col min="14603" max="14603" width="24.83203125" style="21" bestFit="1" customWidth="1"/>
    <col min="14604" max="14605" width="24.83203125" style="21" customWidth="1"/>
    <col min="14606" max="14606" width="15.33203125" style="21" customWidth="1"/>
    <col min="14607" max="14608" width="11.5" style="21" customWidth="1"/>
    <col min="14609" max="14609" width="24.83203125" style="21" bestFit="1" customWidth="1"/>
    <col min="14610" max="14610" width="24.83203125" style="21" customWidth="1"/>
    <col min="14611" max="14611" width="30.5" style="21" customWidth="1"/>
    <col min="14612" max="14612" width="12.1640625" style="21" bestFit="1" customWidth="1"/>
    <col min="14613" max="14613" width="3.5" style="21" customWidth="1"/>
    <col min="14614" max="14618" width="8.83203125" style="21" customWidth="1"/>
    <col min="14619" max="14619" width="2.6640625" style="21" customWidth="1"/>
    <col min="14620" max="14620" width="40.5" style="21" customWidth="1"/>
    <col min="14621" max="14621" width="42.33203125" style="21" customWidth="1"/>
    <col min="14622" max="14673" width="8.83203125" style="21" customWidth="1"/>
    <col min="14674" max="14845" width="8.83203125" style="21"/>
    <col min="14846" max="14846" width="1.5" style="21" customWidth="1"/>
    <col min="14847" max="14847" width="2.1640625" style="21" customWidth="1"/>
    <col min="14848" max="14848" width="11.33203125" style="21" customWidth="1"/>
    <col min="14849" max="14849" width="28.33203125" style="21" bestFit="1" customWidth="1"/>
    <col min="14850" max="14850" width="28.33203125" style="21" customWidth="1"/>
    <col min="14851" max="14851" width="25.1640625" style="21" customWidth="1"/>
    <col min="14852" max="14852" width="18" style="21" customWidth="1"/>
    <col min="14853" max="14853" width="11" style="21" customWidth="1"/>
    <col min="14854" max="14855" width="24.33203125" style="21" customWidth="1"/>
    <col min="14856" max="14856" width="25" style="21" customWidth="1"/>
    <col min="14857" max="14857" width="13.5" style="21" customWidth="1"/>
    <col min="14858" max="14858" width="11" style="21" customWidth="1"/>
    <col min="14859" max="14859" width="24.83203125" style="21" bestFit="1" customWidth="1"/>
    <col min="14860" max="14861" width="24.83203125" style="21" customWidth="1"/>
    <col min="14862" max="14862" width="15.33203125" style="21" customWidth="1"/>
    <col min="14863" max="14864" width="11.5" style="21" customWidth="1"/>
    <col min="14865" max="14865" width="24.83203125" style="21" bestFit="1" customWidth="1"/>
    <col min="14866" max="14866" width="24.83203125" style="21" customWidth="1"/>
    <col min="14867" max="14867" width="30.5" style="21" customWidth="1"/>
    <col min="14868" max="14868" width="12.1640625" style="21" bestFit="1" customWidth="1"/>
    <col min="14869" max="14869" width="3.5" style="21" customWidth="1"/>
    <col min="14870" max="14874" width="8.83203125" style="21" customWidth="1"/>
    <col min="14875" max="14875" width="2.6640625" style="21" customWidth="1"/>
    <col min="14876" max="14876" width="40.5" style="21" customWidth="1"/>
    <col min="14877" max="14877" width="42.33203125" style="21" customWidth="1"/>
    <col min="14878" max="14929" width="8.83203125" style="21" customWidth="1"/>
    <col min="14930" max="15101" width="8.83203125" style="21"/>
    <col min="15102" max="15102" width="1.5" style="21" customWidth="1"/>
    <col min="15103" max="15103" width="2.1640625" style="21" customWidth="1"/>
    <col min="15104" max="15104" width="11.33203125" style="21" customWidth="1"/>
    <col min="15105" max="15105" width="28.33203125" style="21" bestFit="1" customWidth="1"/>
    <col min="15106" max="15106" width="28.33203125" style="21" customWidth="1"/>
    <col min="15107" max="15107" width="25.1640625" style="21" customWidth="1"/>
    <col min="15108" max="15108" width="18" style="21" customWidth="1"/>
    <col min="15109" max="15109" width="11" style="21" customWidth="1"/>
    <col min="15110" max="15111" width="24.33203125" style="21" customWidth="1"/>
    <col min="15112" max="15112" width="25" style="21" customWidth="1"/>
    <col min="15113" max="15113" width="13.5" style="21" customWidth="1"/>
    <col min="15114" max="15114" width="11" style="21" customWidth="1"/>
    <col min="15115" max="15115" width="24.83203125" style="21" bestFit="1" customWidth="1"/>
    <col min="15116" max="15117" width="24.83203125" style="21" customWidth="1"/>
    <col min="15118" max="15118" width="15.33203125" style="21" customWidth="1"/>
    <col min="15119" max="15120" width="11.5" style="21" customWidth="1"/>
    <col min="15121" max="15121" width="24.83203125" style="21" bestFit="1" customWidth="1"/>
    <col min="15122" max="15122" width="24.83203125" style="21" customWidth="1"/>
    <col min="15123" max="15123" width="30.5" style="21" customWidth="1"/>
    <col min="15124" max="15124" width="12.1640625" style="21" bestFit="1" customWidth="1"/>
    <col min="15125" max="15125" width="3.5" style="21" customWidth="1"/>
    <col min="15126" max="15130" width="8.83203125" style="21" customWidth="1"/>
    <col min="15131" max="15131" width="2.6640625" style="21" customWidth="1"/>
    <col min="15132" max="15132" width="40.5" style="21" customWidth="1"/>
    <col min="15133" max="15133" width="42.33203125" style="21" customWidth="1"/>
    <col min="15134" max="15185" width="8.83203125" style="21" customWidth="1"/>
    <col min="15186" max="15357" width="8.83203125" style="21"/>
    <col min="15358" max="15358" width="1.5" style="21" customWidth="1"/>
    <col min="15359" max="15359" width="2.1640625" style="21" customWidth="1"/>
    <col min="15360" max="15360" width="11.33203125" style="21" customWidth="1"/>
    <col min="15361" max="15361" width="28.33203125" style="21" bestFit="1" customWidth="1"/>
    <col min="15362" max="15362" width="28.33203125" style="21" customWidth="1"/>
    <col min="15363" max="15363" width="25.1640625" style="21" customWidth="1"/>
    <col min="15364" max="15364" width="18" style="21" customWidth="1"/>
    <col min="15365" max="15365" width="11" style="21" customWidth="1"/>
    <col min="15366" max="15367" width="24.33203125" style="21" customWidth="1"/>
    <col min="15368" max="15368" width="25" style="21" customWidth="1"/>
    <col min="15369" max="15369" width="13.5" style="21" customWidth="1"/>
    <col min="15370" max="15370" width="11" style="21" customWidth="1"/>
    <col min="15371" max="15371" width="24.83203125" style="21" bestFit="1" customWidth="1"/>
    <col min="15372" max="15373" width="24.83203125" style="21" customWidth="1"/>
    <col min="15374" max="15374" width="15.33203125" style="21" customWidth="1"/>
    <col min="15375" max="15376" width="11.5" style="21" customWidth="1"/>
    <col min="15377" max="15377" width="24.83203125" style="21" bestFit="1" customWidth="1"/>
    <col min="15378" max="15378" width="24.83203125" style="21" customWidth="1"/>
    <col min="15379" max="15379" width="30.5" style="21" customWidth="1"/>
    <col min="15380" max="15380" width="12.1640625" style="21" bestFit="1" customWidth="1"/>
    <col min="15381" max="15381" width="3.5" style="21" customWidth="1"/>
    <col min="15382" max="15386" width="8.83203125" style="21" customWidth="1"/>
    <col min="15387" max="15387" width="2.6640625" style="21" customWidth="1"/>
    <col min="15388" max="15388" width="40.5" style="21" customWidth="1"/>
    <col min="15389" max="15389" width="42.33203125" style="21" customWidth="1"/>
    <col min="15390" max="15441" width="8.83203125" style="21" customWidth="1"/>
    <col min="15442" max="15613" width="8.83203125" style="21"/>
    <col min="15614" max="15614" width="1.5" style="21" customWidth="1"/>
    <col min="15615" max="15615" width="2.1640625" style="21" customWidth="1"/>
    <col min="15616" max="15616" width="11.33203125" style="21" customWidth="1"/>
    <col min="15617" max="15617" width="28.33203125" style="21" bestFit="1" customWidth="1"/>
    <col min="15618" max="15618" width="28.33203125" style="21" customWidth="1"/>
    <col min="15619" max="15619" width="25.1640625" style="21" customWidth="1"/>
    <col min="15620" max="15620" width="18" style="21" customWidth="1"/>
    <col min="15621" max="15621" width="11" style="21" customWidth="1"/>
    <col min="15622" max="15623" width="24.33203125" style="21" customWidth="1"/>
    <col min="15624" max="15624" width="25" style="21" customWidth="1"/>
    <col min="15625" max="15625" width="13.5" style="21" customWidth="1"/>
    <col min="15626" max="15626" width="11" style="21" customWidth="1"/>
    <col min="15627" max="15627" width="24.83203125" style="21" bestFit="1" customWidth="1"/>
    <col min="15628" max="15629" width="24.83203125" style="21" customWidth="1"/>
    <col min="15630" max="15630" width="15.33203125" style="21" customWidth="1"/>
    <col min="15631" max="15632" width="11.5" style="21" customWidth="1"/>
    <col min="15633" max="15633" width="24.83203125" style="21" bestFit="1" customWidth="1"/>
    <col min="15634" max="15634" width="24.83203125" style="21" customWidth="1"/>
    <col min="15635" max="15635" width="30.5" style="21" customWidth="1"/>
    <col min="15636" max="15636" width="12.1640625" style="21" bestFit="1" customWidth="1"/>
    <col min="15637" max="15637" width="3.5" style="21" customWidth="1"/>
    <col min="15638" max="15642" width="8.83203125" style="21" customWidth="1"/>
    <col min="15643" max="15643" width="2.6640625" style="21" customWidth="1"/>
    <col min="15644" max="15644" width="40.5" style="21" customWidth="1"/>
    <col min="15645" max="15645" width="42.33203125" style="21" customWidth="1"/>
    <col min="15646" max="15697" width="8.83203125" style="21" customWidth="1"/>
    <col min="15698" max="15869" width="8.83203125" style="21"/>
    <col min="15870" max="15870" width="1.5" style="21" customWidth="1"/>
    <col min="15871" max="15871" width="2.1640625" style="21" customWidth="1"/>
    <col min="15872" max="15872" width="11.33203125" style="21" customWidth="1"/>
    <col min="15873" max="15873" width="28.33203125" style="21" bestFit="1" customWidth="1"/>
    <col min="15874" max="15874" width="28.33203125" style="21" customWidth="1"/>
    <col min="15875" max="15875" width="25.1640625" style="21" customWidth="1"/>
    <col min="15876" max="15876" width="18" style="21" customWidth="1"/>
    <col min="15877" max="15877" width="11" style="21" customWidth="1"/>
    <col min="15878" max="15879" width="24.33203125" style="21" customWidth="1"/>
    <col min="15880" max="15880" width="25" style="21" customWidth="1"/>
    <col min="15881" max="15881" width="13.5" style="21" customWidth="1"/>
    <col min="15882" max="15882" width="11" style="21" customWidth="1"/>
    <col min="15883" max="15883" width="24.83203125" style="21" bestFit="1" customWidth="1"/>
    <col min="15884" max="15885" width="24.83203125" style="21" customWidth="1"/>
    <col min="15886" max="15886" width="15.33203125" style="21" customWidth="1"/>
    <col min="15887" max="15888" width="11.5" style="21" customWidth="1"/>
    <col min="15889" max="15889" width="24.83203125" style="21" bestFit="1" customWidth="1"/>
    <col min="15890" max="15890" width="24.83203125" style="21" customWidth="1"/>
    <col min="15891" max="15891" width="30.5" style="21" customWidth="1"/>
    <col min="15892" max="15892" width="12.1640625" style="21" bestFit="1" customWidth="1"/>
    <col min="15893" max="15893" width="3.5" style="21" customWidth="1"/>
    <col min="15894" max="15898" width="8.83203125" style="21" customWidth="1"/>
    <col min="15899" max="15899" width="2.6640625" style="21" customWidth="1"/>
    <col min="15900" max="15900" width="40.5" style="21" customWidth="1"/>
    <col min="15901" max="15901" width="42.33203125" style="21" customWidth="1"/>
    <col min="15902" max="15953" width="8.83203125" style="21" customWidth="1"/>
    <col min="15954" max="16125" width="8.83203125" style="21"/>
    <col min="16126" max="16126" width="1.5" style="21" customWidth="1"/>
    <col min="16127" max="16127" width="2.1640625" style="21" customWidth="1"/>
    <col min="16128" max="16128" width="11.33203125" style="21" customWidth="1"/>
    <col min="16129" max="16129" width="28.33203125" style="21" bestFit="1" customWidth="1"/>
    <col min="16130" max="16130" width="28.33203125" style="21" customWidth="1"/>
    <col min="16131" max="16131" width="25.1640625" style="21" customWidth="1"/>
    <col min="16132" max="16132" width="18" style="21" customWidth="1"/>
    <col min="16133" max="16133" width="11" style="21" customWidth="1"/>
    <col min="16134" max="16135" width="24.33203125" style="21" customWidth="1"/>
    <col min="16136" max="16136" width="25" style="21" customWidth="1"/>
    <col min="16137" max="16137" width="13.5" style="21" customWidth="1"/>
    <col min="16138" max="16138" width="11" style="21" customWidth="1"/>
    <col min="16139" max="16139" width="24.83203125" style="21" bestFit="1" customWidth="1"/>
    <col min="16140" max="16141" width="24.83203125" style="21" customWidth="1"/>
    <col min="16142" max="16142" width="15.33203125" style="21" customWidth="1"/>
    <col min="16143" max="16144" width="11.5" style="21" customWidth="1"/>
    <col min="16145" max="16145" width="24.83203125" style="21" bestFit="1" customWidth="1"/>
    <col min="16146" max="16146" width="24.83203125" style="21" customWidth="1"/>
    <col min="16147" max="16147" width="30.5" style="21" customWidth="1"/>
    <col min="16148" max="16148" width="12.1640625" style="21" bestFit="1" customWidth="1"/>
    <col min="16149" max="16149" width="3.5" style="21" customWidth="1"/>
    <col min="16150" max="16154" width="8.83203125" style="21" customWidth="1"/>
    <col min="16155" max="16155" width="2.6640625" style="21" customWidth="1"/>
    <col min="16156" max="16156" width="40.5" style="21" customWidth="1"/>
    <col min="16157" max="16157" width="42.33203125" style="21" customWidth="1"/>
    <col min="16158" max="16209" width="8.83203125" style="21" customWidth="1"/>
    <col min="16210" max="16384" width="8.83203125" style="21"/>
  </cols>
  <sheetData>
    <row r="1" spans="2:81" ht="13" thickBot="1">
      <c r="C1" s="19"/>
    </row>
    <row r="2" spans="2:81" s="26" customFormat="1" ht="13">
      <c r="B2" s="155"/>
      <c r="C2" s="373" t="s">
        <v>217</v>
      </c>
      <c r="D2" s="373"/>
      <c r="E2" s="373"/>
      <c r="F2" s="373"/>
      <c r="G2" s="374"/>
      <c r="H2" s="374"/>
      <c r="I2" s="374"/>
      <c r="J2" s="374"/>
      <c r="K2" s="374"/>
      <c r="L2" s="374"/>
      <c r="M2" s="374"/>
      <c r="N2" s="374"/>
      <c r="O2" s="374"/>
      <c r="P2" s="374"/>
      <c r="Q2" s="374"/>
      <c r="R2" s="374"/>
      <c r="S2" s="374"/>
      <c r="T2" s="374"/>
      <c r="U2" s="374"/>
      <c r="V2" s="374"/>
      <c r="W2" s="25"/>
      <c r="X2" s="123"/>
      <c r="Y2" s="123"/>
      <c r="Z2" s="123"/>
      <c r="AA2" s="123"/>
      <c r="AB2" s="123"/>
      <c r="AC2" s="123"/>
      <c r="AD2" s="188" t="s">
        <v>84</v>
      </c>
      <c r="AE2" s="201"/>
      <c r="AF2" s="201"/>
      <c r="AG2" s="123"/>
      <c r="AH2" s="123"/>
      <c r="AI2" s="123"/>
      <c r="AJ2" s="123"/>
      <c r="AK2" s="123"/>
      <c r="AL2" s="123"/>
      <c r="AM2" s="123"/>
      <c r="AN2" s="123"/>
      <c r="AO2" s="123"/>
      <c r="AP2" s="123"/>
      <c r="AQ2" s="123"/>
      <c r="AR2" s="123"/>
      <c r="AS2" s="123"/>
      <c r="AT2" s="123"/>
      <c r="AU2" s="22"/>
      <c r="AV2" s="22"/>
      <c r="AW2" s="22"/>
      <c r="AX2" s="22"/>
      <c r="AY2" s="22"/>
      <c r="AZ2" s="22"/>
      <c r="BA2" s="22"/>
      <c r="BB2" s="22"/>
      <c r="BC2" s="22"/>
      <c r="BD2" s="22"/>
      <c r="BE2" s="22"/>
      <c r="BF2" s="22"/>
      <c r="BG2" s="22"/>
      <c r="BH2" s="22"/>
      <c r="BI2" s="22"/>
      <c r="BJ2" s="22"/>
      <c r="BK2" s="22"/>
      <c r="BL2" s="22"/>
      <c r="BM2" s="22"/>
      <c r="BN2" s="22"/>
      <c r="BO2" s="22"/>
      <c r="BP2" s="22"/>
      <c r="BQ2" s="22"/>
      <c r="BR2" s="22"/>
      <c r="BS2" s="22"/>
      <c r="BT2" s="22"/>
      <c r="BU2" s="22"/>
      <c r="BV2" s="22"/>
      <c r="BW2" s="22"/>
      <c r="BX2" s="22"/>
      <c r="BY2" s="22"/>
      <c r="BZ2" s="22"/>
      <c r="CA2" s="22"/>
      <c r="CB2" s="22"/>
      <c r="CC2" s="22"/>
    </row>
    <row r="3" spans="2:81" s="26" customFormat="1" ht="15" customHeight="1">
      <c r="B3" s="34"/>
      <c r="C3" s="156"/>
      <c r="D3" s="156"/>
      <c r="E3" s="156"/>
      <c r="F3" s="156"/>
      <c r="G3" s="75"/>
      <c r="H3" s="75"/>
      <c r="I3" s="159" t="s">
        <v>87</v>
      </c>
      <c r="J3" s="198"/>
      <c r="K3" s="198"/>
      <c r="L3" s="237"/>
      <c r="M3" s="215"/>
      <c r="N3" s="198"/>
      <c r="O3" s="39"/>
      <c r="P3" s="198"/>
      <c r="Q3" s="223"/>
      <c r="R3" s="75"/>
      <c r="S3" s="256"/>
      <c r="T3" s="75"/>
      <c r="U3" s="75"/>
      <c r="V3" s="157"/>
      <c r="W3" s="28"/>
      <c r="X3" s="123"/>
      <c r="Y3" s="123"/>
      <c r="Z3" s="123"/>
      <c r="AA3" s="123"/>
      <c r="AB3" s="123"/>
      <c r="AC3" s="123"/>
      <c r="AD3" s="189" t="s">
        <v>85</v>
      </c>
      <c r="AE3" s="202" t="s">
        <v>86</v>
      </c>
      <c r="AF3" s="201" t="s">
        <v>70</v>
      </c>
      <c r="AG3" s="123"/>
      <c r="AH3" s="123"/>
      <c r="AI3" s="123"/>
      <c r="AJ3" s="123"/>
      <c r="AK3" s="123"/>
      <c r="AL3" s="123"/>
      <c r="AM3" s="123"/>
      <c r="AN3" s="123"/>
      <c r="AO3" s="123"/>
      <c r="AP3" s="123"/>
      <c r="AQ3" s="123"/>
      <c r="AR3" s="123"/>
      <c r="AS3" s="123"/>
      <c r="AT3" s="123"/>
      <c r="AU3" s="22"/>
      <c r="AV3" s="22"/>
      <c r="AW3" s="22"/>
      <c r="AX3" s="22"/>
      <c r="AY3" s="22"/>
      <c r="AZ3" s="22"/>
      <c r="BA3" s="22"/>
      <c r="BB3" s="22"/>
      <c r="BC3" s="22"/>
      <c r="BD3" s="22"/>
      <c r="BE3" s="22"/>
      <c r="BF3" s="22"/>
      <c r="BG3" s="22"/>
      <c r="BH3" s="22"/>
      <c r="BI3" s="22"/>
      <c r="BJ3" s="22"/>
      <c r="BK3" s="22"/>
      <c r="BL3" s="22"/>
      <c r="BM3" s="22"/>
      <c r="BN3" s="22"/>
      <c r="BO3" s="22"/>
      <c r="BP3" s="22"/>
      <c r="BQ3" s="22"/>
      <c r="BR3" s="22"/>
      <c r="BS3" s="22"/>
      <c r="BT3" s="22"/>
      <c r="BU3" s="22"/>
      <c r="BV3" s="22"/>
      <c r="BW3" s="22"/>
      <c r="BX3" s="22"/>
      <c r="BY3" s="22"/>
      <c r="BZ3" s="22"/>
      <c r="CA3" s="22"/>
      <c r="CB3" s="22"/>
      <c r="CC3" s="22"/>
    </row>
    <row r="4" spans="2:81" s="26" customFormat="1" ht="13">
      <c r="B4" s="34"/>
      <c r="C4" s="158" t="s">
        <v>218</v>
      </c>
      <c r="D4" s="33"/>
      <c r="E4" s="33"/>
      <c r="F4" s="33"/>
      <c r="G4" s="33"/>
      <c r="H4" s="39"/>
      <c r="I4" s="80"/>
      <c r="J4" s="238" t="s">
        <v>86</v>
      </c>
      <c r="K4" s="381" t="s">
        <v>197</v>
      </c>
      <c r="L4" s="381"/>
      <c r="M4" s="215"/>
      <c r="N4" s="198"/>
      <c r="O4" s="198" t="s">
        <v>88</v>
      </c>
      <c r="P4" s="160" t="s">
        <v>94</v>
      </c>
      <c r="Q4" s="196"/>
      <c r="R4" s="223"/>
      <c r="S4" s="228" t="s">
        <v>112</v>
      </c>
      <c r="T4" s="33"/>
      <c r="U4" s="33"/>
      <c r="V4" s="157"/>
      <c r="W4" s="28"/>
      <c r="X4" s="123"/>
      <c r="Y4" s="123"/>
      <c r="Z4" s="123"/>
      <c r="AA4" s="123"/>
      <c r="AB4" s="123"/>
      <c r="AC4" s="123"/>
      <c r="AD4" s="189" t="s">
        <v>227</v>
      </c>
      <c r="AE4" s="202" t="s">
        <v>91</v>
      </c>
      <c r="AF4" s="201" t="s">
        <v>71</v>
      </c>
      <c r="AG4" s="123"/>
      <c r="AH4" s="123"/>
      <c r="AI4" s="123"/>
      <c r="AJ4" s="123"/>
      <c r="AK4" s="123"/>
      <c r="AL4" s="123"/>
      <c r="AM4" s="123"/>
      <c r="AN4" s="123"/>
      <c r="AO4" s="123"/>
      <c r="AP4" s="123"/>
      <c r="AQ4" s="123"/>
      <c r="AR4" s="123"/>
      <c r="AS4" s="123"/>
      <c r="AT4" s="123"/>
      <c r="AU4" s="22"/>
      <c r="AV4" s="22"/>
      <c r="AW4" s="22"/>
      <c r="AX4" s="22"/>
      <c r="AY4" s="22"/>
      <c r="AZ4" s="22"/>
      <c r="BA4" s="22"/>
      <c r="BB4" s="22"/>
      <c r="BC4" s="22"/>
      <c r="BD4" s="22"/>
      <c r="BE4" s="22"/>
      <c r="BF4" s="22"/>
      <c r="BG4" s="22"/>
      <c r="BH4" s="22"/>
      <c r="BI4" s="22"/>
      <c r="BJ4" s="22"/>
      <c r="BK4" s="22"/>
      <c r="BL4" s="22"/>
      <c r="BM4" s="22"/>
      <c r="BN4" s="22"/>
      <c r="BO4" s="22"/>
      <c r="BP4" s="22"/>
      <c r="BQ4" s="22"/>
      <c r="BR4" s="22"/>
      <c r="BS4" s="22"/>
      <c r="BT4" s="22"/>
      <c r="BU4" s="22"/>
      <c r="BV4" s="22"/>
      <c r="BW4" s="22"/>
      <c r="BX4" s="22"/>
      <c r="BY4" s="22"/>
      <c r="BZ4" s="22"/>
      <c r="CA4" s="22"/>
      <c r="CB4" s="22"/>
      <c r="CC4" s="22"/>
    </row>
    <row r="5" spans="2:81" s="26" customFormat="1" ht="15" customHeight="1">
      <c r="B5" s="34"/>
      <c r="C5" s="158" t="s">
        <v>219</v>
      </c>
      <c r="D5" s="33"/>
      <c r="E5" s="33"/>
      <c r="F5" s="33"/>
      <c r="G5" s="33"/>
      <c r="H5" s="80"/>
      <c r="I5" s="39"/>
      <c r="J5" s="159"/>
      <c r="K5" s="381"/>
      <c r="L5" s="381"/>
      <c r="M5" s="196"/>
      <c r="N5" s="196"/>
      <c r="O5" s="196"/>
      <c r="P5" s="160" t="s">
        <v>98</v>
      </c>
      <c r="Q5" s="196"/>
      <c r="R5" s="223"/>
      <c r="S5" s="162" t="s">
        <v>199</v>
      </c>
      <c r="T5" s="196"/>
      <c r="U5" s="33" t="s">
        <v>157</v>
      </c>
      <c r="V5" s="157"/>
      <c r="W5" s="28"/>
      <c r="X5" s="123"/>
      <c r="Y5" s="123"/>
      <c r="Z5" s="123"/>
      <c r="AA5" s="123"/>
      <c r="AB5" s="123"/>
      <c r="AC5" s="123"/>
      <c r="AD5" s="190" t="s">
        <v>90</v>
      </c>
      <c r="AE5" s="202" t="s">
        <v>96</v>
      </c>
      <c r="AF5" s="201" t="s">
        <v>72</v>
      </c>
      <c r="AG5" s="123"/>
      <c r="AH5" s="123"/>
      <c r="AI5" s="123"/>
      <c r="AJ5" s="123"/>
      <c r="AK5" s="123"/>
      <c r="AL5" s="123"/>
      <c r="AM5" s="123"/>
      <c r="AN5" s="123"/>
      <c r="AO5" s="123"/>
      <c r="AP5" s="123"/>
      <c r="AQ5" s="123"/>
      <c r="AR5" s="123"/>
      <c r="AS5" s="123"/>
      <c r="AT5" s="123"/>
      <c r="AU5" s="22"/>
      <c r="AV5" s="22"/>
      <c r="AW5" s="22"/>
      <c r="AX5" s="22"/>
      <c r="AY5" s="22"/>
      <c r="AZ5" s="22"/>
      <c r="BA5" s="22"/>
      <c r="BB5" s="22"/>
      <c r="BC5" s="22"/>
      <c r="BD5" s="22"/>
      <c r="BE5" s="22"/>
      <c r="BF5" s="22"/>
      <c r="BG5" s="22"/>
      <c r="BH5" s="22"/>
      <c r="BI5" s="22"/>
      <c r="BJ5" s="22"/>
      <c r="BK5" s="22"/>
      <c r="BL5" s="22"/>
      <c r="BM5" s="22"/>
      <c r="BN5" s="22"/>
      <c r="BO5" s="22"/>
      <c r="BP5" s="22"/>
      <c r="BQ5" s="22"/>
      <c r="BR5" s="22"/>
      <c r="BS5" s="22"/>
      <c r="BT5" s="22"/>
      <c r="BU5" s="22"/>
      <c r="BV5" s="22"/>
      <c r="BW5" s="22"/>
      <c r="BX5" s="22"/>
      <c r="BY5" s="22"/>
      <c r="BZ5" s="22"/>
      <c r="CA5" s="22"/>
      <c r="CB5" s="22"/>
      <c r="CC5" s="22"/>
    </row>
    <row r="6" spans="2:81" s="26" customFormat="1" ht="13">
      <c r="B6" s="34"/>
      <c r="C6" s="33"/>
      <c r="D6" s="33"/>
      <c r="E6" s="33"/>
      <c r="F6" s="33"/>
      <c r="G6" s="33"/>
      <c r="H6" s="80"/>
      <c r="I6" s="33"/>
      <c r="J6" s="197"/>
      <c r="K6" s="31"/>
      <c r="L6" s="229"/>
      <c r="M6" s="198"/>
      <c r="N6" s="370" t="s">
        <v>175</v>
      </c>
      <c r="O6" s="162" t="s">
        <v>90</v>
      </c>
      <c r="P6" s="160" t="s">
        <v>103</v>
      </c>
      <c r="Q6" s="196"/>
      <c r="R6" s="223"/>
      <c r="S6" s="55" t="s">
        <v>188</v>
      </c>
      <c r="T6" s="196"/>
      <c r="U6" s="196" t="s">
        <v>160</v>
      </c>
      <c r="V6" s="157"/>
      <c r="W6" s="28"/>
      <c r="X6" s="123"/>
      <c r="Y6" s="123"/>
      <c r="Z6" s="123"/>
      <c r="AA6" s="123"/>
      <c r="AB6" s="123"/>
      <c r="AC6" s="123"/>
      <c r="AD6" s="190" t="s">
        <v>95</v>
      </c>
      <c r="AE6" s="202" t="s">
        <v>173</v>
      </c>
      <c r="AF6" s="201" t="s">
        <v>171</v>
      </c>
      <c r="AG6" s="123"/>
      <c r="AH6" s="123"/>
      <c r="AI6" s="123"/>
      <c r="AJ6" s="123"/>
      <c r="AK6" s="123"/>
      <c r="AL6" s="123"/>
      <c r="AM6" s="123"/>
      <c r="AN6" s="123"/>
      <c r="AO6" s="123"/>
      <c r="AP6" s="123"/>
      <c r="AQ6" s="123"/>
      <c r="AR6" s="123"/>
      <c r="AS6" s="123"/>
      <c r="AT6" s="123"/>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row>
    <row r="7" spans="2:81" s="26" customFormat="1" ht="13">
      <c r="B7" s="34"/>
      <c r="C7" s="375" t="s">
        <v>101</v>
      </c>
      <c r="D7" s="375"/>
      <c r="E7" s="375"/>
      <c r="F7" s="375"/>
      <c r="G7" s="375"/>
      <c r="H7" s="39"/>
      <c r="I7" s="379" t="s">
        <v>91</v>
      </c>
      <c r="J7" s="379"/>
      <c r="K7" s="31" t="s">
        <v>91</v>
      </c>
      <c r="L7" s="229"/>
      <c r="M7" s="198"/>
      <c r="N7" s="370"/>
      <c r="O7" s="162" t="s">
        <v>95</v>
      </c>
      <c r="P7" s="160" t="s">
        <v>108</v>
      </c>
      <c r="Q7" s="196"/>
      <c r="R7" s="223"/>
      <c r="S7" s="163" t="s">
        <v>190</v>
      </c>
      <c r="T7" s="196"/>
      <c r="U7" s="196" t="s">
        <v>162</v>
      </c>
      <c r="V7" s="157"/>
      <c r="W7" s="28"/>
      <c r="X7" s="123"/>
      <c r="Y7" s="123"/>
      <c r="Z7" s="123"/>
      <c r="AA7" s="123"/>
      <c r="AB7" s="123"/>
      <c r="AC7" s="123"/>
      <c r="AD7" s="252" t="s">
        <v>178</v>
      </c>
      <c r="AE7" s="202" t="s">
        <v>100</v>
      </c>
      <c r="AF7" s="201" t="s">
        <v>73</v>
      </c>
      <c r="AG7" s="123"/>
      <c r="AH7" s="123"/>
      <c r="AI7" s="123"/>
      <c r="AJ7" s="123"/>
      <c r="AK7" s="123"/>
      <c r="AL7" s="123"/>
      <c r="AM7" s="123"/>
      <c r="AN7" s="123"/>
      <c r="AO7" s="123"/>
      <c r="AP7" s="123"/>
      <c r="AQ7" s="123"/>
      <c r="AR7" s="123"/>
      <c r="AS7" s="123"/>
      <c r="AT7" s="123"/>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row>
    <row r="8" spans="2:81" s="26" customFormat="1" ht="15" customHeight="1">
      <c r="B8" s="34"/>
      <c r="C8" s="159" t="s">
        <v>105</v>
      </c>
      <c r="D8" s="74" t="s">
        <v>86</v>
      </c>
      <c r="E8" s="74"/>
      <c r="F8" s="80"/>
      <c r="G8" s="161" t="s">
        <v>106</v>
      </c>
      <c r="H8" s="39"/>
      <c r="I8" s="215"/>
      <c r="J8" s="215"/>
      <c r="K8" s="229"/>
      <c r="L8" s="229"/>
      <c r="M8" s="198"/>
      <c r="N8" s="370"/>
      <c r="O8" s="200" t="s">
        <v>193</v>
      </c>
      <c r="P8" s="198"/>
      <c r="Q8" s="196"/>
      <c r="R8" s="223"/>
      <c r="S8" s="256"/>
      <c r="T8" s="33"/>
      <c r="U8" s="196" t="s">
        <v>158</v>
      </c>
      <c r="V8" s="157"/>
      <c r="W8" s="28"/>
      <c r="X8" s="123"/>
      <c r="Y8" s="123"/>
      <c r="Z8" s="123"/>
      <c r="AA8" s="123"/>
      <c r="AB8" s="123"/>
      <c r="AC8" s="123"/>
      <c r="AD8" s="189" t="s">
        <v>86</v>
      </c>
      <c r="AE8" s="202" t="s">
        <v>32</v>
      </c>
      <c r="AF8" s="201" t="s">
        <v>31</v>
      </c>
      <c r="AG8" s="123"/>
      <c r="AH8" s="123"/>
      <c r="AI8" s="123"/>
      <c r="AJ8" s="123"/>
      <c r="AK8" s="123"/>
      <c r="AL8" s="123"/>
      <c r="AM8" s="123"/>
      <c r="AN8" s="123"/>
      <c r="AO8" s="123"/>
      <c r="AP8" s="123"/>
      <c r="AQ8" s="123"/>
      <c r="AR8" s="123"/>
      <c r="AS8" s="123"/>
      <c r="AT8" s="123"/>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row>
    <row r="9" spans="2:81" s="26" customFormat="1" ht="15" customHeight="1">
      <c r="B9" s="34"/>
      <c r="C9" s="159" t="s">
        <v>110</v>
      </c>
      <c r="D9" s="74" t="s">
        <v>91</v>
      </c>
      <c r="E9" s="159" t="s">
        <v>127</v>
      </c>
      <c r="F9" s="30" t="s">
        <v>22</v>
      </c>
      <c r="G9" s="216" t="s">
        <v>165</v>
      </c>
      <c r="H9" s="80"/>
      <c r="I9" s="215"/>
      <c r="J9" s="220" t="s">
        <v>96</v>
      </c>
      <c r="K9" s="380" t="s">
        <v>198</v>
      </c>
      <c r="L9" s="380"/>
      <c r="M9" s="198"/>
      <c r="N9" s="370"/>
      <c r="O9" s="198"/>
      <c r="P9" s="160" t="s">
        <v>118</v>
      </c>
      <c r="Q9" s="196"/>
      <c r="R9" s="196"/>
      <c r="S9" s="228" t="s">
        <v>89</v>
      </c>
      <c r="T9" s="196"/>
      <c r="U9" s="196" t="s">
        <v>191</v>
      </c>
      <c r="V9" s="157"/>
      <c r="W9" s="28"/>
      <c r="X9" s="123"/>
      <c r="Y9" s="123"/>
      <c r="Z9" s="123"/>
      <c r="AA9" s="123"/>
      <c r="AB9" s="123"/>
      <c r="AC9" s="123"/>
      <c r="AD9" s="189" t="s">
        <v>109</v>
      </c>
      <c r="AE9" s="202" t="s">
        <v>119</v>
      </c>
      <c r="AF9" s="201" t="s">
        <v>37</v>
      </c>
      <c r="AG9" s="123"/>
      <c r="AH9" s="123"/>
      <c r="AI9" s="123"/>
      <c r="AJ9" s="123"/>
      <c r="AK9" s="123"/>
      <c r="AL9" s="123"/>
      <c r="AM9" s="123"/>
      <c r="AN9" s="123"/>
      <c r="AO9" s="123"/>
      <c r="AP9" s="123"/>
      <c r="AQ9" s="123"/>
      <c r="AR9" s="123"/>
      <c r="AS9" s="123"/>
      <c r="AT9" s="123"/>
      <c r="AU9" s="22"/>
      <c r="AV9" s="22"/>
      <c r="AW9" s="22"/>
      <c r="AX9" s="22"/>
      <c r="AY9" s="22"/>
      <c r="AZ9" s="22"/>
      <c r="BA9" s="22"/>
      <c r="BB9" s="22"/>
      <c r="BC9" s="22"/>
      <c r="BD9" s="22"/>
      <c r="BE9" s="22"/>
      <c r="BF9" s="22"/>
      <c r="BG9" s="22"/>
      <c r="BH9" s="22"/>
      <c r="BI9" s="22"/>
      <c r="BJ9" s="22"/>
      <c r="BK9" s="22"/>
      <c r="BL9" s="22"/>
      <c r="BM9" s="22"/>
      <c r="BN9" s="22"/>
      <c r="BO9" s="22"/>
      <c r="BP9" s="22"/>
      <c r="BQ9" s="22"/>
      <c r="BR9" s="22"/>
      <c r="BS9" s="22"/>
      <c r="BT9" s="22"/>
      <c r="BU9" s="22"/>
      <c r="BV9" s="22"/>
      <c r="BW9" s="22"/>
      <c r="BX9" s="22"/>
      <c r="BY9" s="22"/>
      <c r="BZ9" s="22"/>
      <c r="CA9" s="22"/>
      <c r="CB9" s="22"/>
      <c r="CC9" s="22"/>
    </row>
    <row r="10" spans="2:81" s="26" customFormat="1" ht="15" customHeight="1">
      <c r="B10" s="34"/>
      <c r="C10" s="159" t="s">
        <v>114</v>
      </c>
      <c r="D10" s="74" t="s">
        <v>96</v>
      </c>
      <c r="E10" s="159" t="s">
        <v>139</v>
      </c>
      <c r="F10" s="74" t="s">
        <v>36</v>
      </c>
      <c r="G10" s="217" t="s">
        <v>168</v>
      </c>
      <c r="H10" s="39"/>
      <c r="I10" s="215"/>
      <c r="J10" s="216"/>
      <c r="K10" s="380"/>
      <c r="L10" s="380"/>
      <c r="M10" s="198"/>
      <c r="N10" s="370"/>
      <c r="O10" s="160" t="s">
        <v>131</v>
      </c>
      <c r="P10" s="160" t="s">
        <v>123</v>
      </c>
      <c r="Q10" s="196"/>
      <c r="R10" s="33" t="s">
        <v>113</v>
      </c>
      <c r="S10" s="380" t="s">
        <v>192</v>
      </c>
      <c r="T10" s="380"/>
      <c r="U10" s="196"/>
      <c r="V10" s="157"/>
      <c r="W10" s="28"/>
      <c r="X10" s="123"/>
      <c r="Y10" s="123"/>
      <c r="Z10" s="123"/>
      <c r="AA10" s="123"/>
      <c r="AB10" s="123"/>
      <c r="AC10" s="123"/>
      <c r="AD10" s="189" t="s">
        <v>91</v>
      </c>
      <c r="AE10" s="202" t="s">
        <v>26</v>
      </c>
      <c r="AF10" s="201" t="s">
        <v>25</v>
      </c>
      <c r="AG10" s="123"/>
      <c r="AH10" s="123"/>
      <c r="AI10" s="123"/>
      <c r="AJ10" s="123"/>
      <c r="AK10" s="123"/>
      <c r="AL10" s="123"/>
      <c r="AM10" s="123"/>
      <c r="AN10" s="123"/>
      <c r="AO10" s="123"/>
      <c r="AP10" s="123"/>
      <c r="AQ10" s="123"/>
      <c r="AR10" s="123"/>
      <c r="AS10" s="123"/>
      <c r="AT10" s="123"/>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row>
    <row r="11" spans="2:81" s="26" customFormat="1" ht="13">
      <c r="B11" s="34"/>
      <c r="C11" s="197" t="s">
        <v>171</v>
      </c>
      <c r="D11" s="216" t="s">
        <v>173</v>
      </c>
      <c r="E11" s="215"/>
      <c r="F11" s="215"/>
      <c r="G11" s="216" t="s">
        <v>116</v>
      </c>
      <c r="H11" s="39"/>
      <c r="I11" s="215"/>
      <c r="J11" s="215"/>
      <c r="K11" s="380"/>
      <c r="L11" s="380"/>
      <c r="M11" s="215"/>
      <c r="N11" s="251"/>
      <c r="O11" s="160" t="s">
        <v>136</v>
      </c>
      <c r="P11" s="218" t="s">
        <v>194</v>
      </c>
      <c r="Q11" s="196"/>
      <c r="R11" s="33"/>
      <c r="S11" s="196"/>
      <c r="T11" s="33"/>
      <c r="U11" s="235" t="s">
        <v>196</v>
      </c>
      <c r="V11" s="157"/>
      <c r="W11" s="28"/>
      <c r="X11" s="123"/>
      <c r="Y11" s="123"/>
      <c r="Z11" s="123"/>
      <c r="AA11" s="123"/>
      <c r="AB11" s="123"/>
      <c r="AC11" s="123"/>
      <c r="AD11" s="189" t="s">
        <v>155</v>
      </c>
      <c r="AE11" s="202" t="s">
        <v>22</v>
      </c>
      <c r="AF11" s="201" t="s">
        <v>21</v>
      </c>
      <c r="AG11" s="123"/>
      <c r="AH11" s="123"/>
      <c r="AI11" s="123"/>
      <c r="AJ11" s="123"/>
      <c r="AK11" s="123"/>
      <c r="AL11" s="123"/>
      <c r="AM11" s="123"/>
      <c r="AN11" s="123"/>
      <c r="AO11" s="123"/>
      <c r="AP11" s="123"/>
      <c r="AQ11" s="123"/>
      <c r="AR11" s="123"/>
      <c r="AS11" s="123"/>
      <c r="AT11" s="123"/>
      <c r="AU11" s="22"/>
      <c r="AV11" s="22"/>
      <c r="AW11" s="22"/>
      <c r="AX11" s="22"/>
      <c r="AY11" s="22"/>
      <c r="AZ11" s="22"/>
      <c r="BA11" s="22"/>
      <c r="BB11" s="22"/>
      <c r="BC11" s="22"/>
      <c r="BD11" s="22"/>
      <c r="BE11" s="22"/>
      <c r="BF11" s="22"/>
      <c r="BG11" s="22"/>
      <c r="BH11" s="22"/>
      <c r="BI11" s="22"/>
      <c r="BJ11" s="22"/>
      <c r="BK11" s="22"/>
      <c r="BL11" s="22"/>
      <c r="BM11" s="22"/>
      <c r="BN11" s="22"/>
      <c r="BO11" s="22"/>
      <c r="BP11" s="22"/>
      <c r="BQ11" s="22"/>
      <c r="BR11" s="22"/>
      <c r="BS11" s="22"/>
      <c r="BT11" s="22"/>
      <c r="BU11" s="22"/>
      <c r="BV11" s="22"/>
      <c r="BW11" s="22"/>
      <c r="BX11" s="22"/>
      <c r="BY11" s="22"/>
      <c r="BZ11" s="22"/>
      <c r="CA11" s="22"/>
      <c r="CB11" s="22"/>
      <c r="CC11" s="22"/>
    </row>
    <row r="12" spans="2:81" s="26" customFormat="1" ht="13">
      <c r="B12" s="34"/>
      <c r="C12" s="159" t="s">
        <v>120</v>
      </c>
      <c r="D12" s="74" t="s">
        <v>100</v>
      </c>
      <c r="E12" s="159" t="s">
        <v>128</v>
      </c>
      <c r="F12" s="30" t="s">
        <v>24</v>
      </c>
      <c r="G12" s="217" t="s">
        <v>169</v>
      </c>
      <c r="H12" s="30" t="s">
        <v>125</v>
      </c>
      <c r="I12" s="215"/>
      <c r="J12" s="220" t="s">
        <v>173</v>
      </c>
      <c r="K12" s="372" t="s">
        <v>223</v>
      </c>
      <c r="L12" s="372"/>
      <c r="M12" s="360" t="s">
        <v>92</v>
      </c>
      <c r="N12" s="218" t="s">
        <v>93</v>
      </c>
      <c r="O12" s="198"/>
      <c r="P12" s="198"/>
      <c r="Q12" s="196"/>
      <c r="R12" s="33" t="s">
        <v>99</v>
      </c>
      <c r="S12" s="196" t="s">
        <v>85</v>
      </c>
      <c r="T12" s="33"/>
      <c r="U12" s="257"/>
      <c r="V12" s="157"/>
      <c r="W12" s="28"/>
      <c r="X12" s="123"/>
      <c r="Y12" s="123"/>
      <c r="Z12" s="123"/>
      <c r="AA12" s="123"/>
      <c r="AB12" s="123"/>
      <c r="AC12" s="123"/>
      <c r="AD12" s="253" t="s">
        <v>96</v>
      </c>
      <c r="AE12" s="202" t="s">
        <v>36</v>
      </c>
      <c r="AF12" s="201" t="s">
        <v>35</v>
      </c>
      <c r="AG12" s="123"/>
      <c r="AH12" s="123"/>
      <c r="AI12" s="123"/>
      <c r="AJ12" s="123"/>
      <c r="AK12" s="123"/>
      <c r="AL12" s="123"/>
      <c r="AM12" s="123"/>
      <c r="AN12" s="123"/>
      <c r="AO12" s="123"/>
      <c r="AP12" s="123"/>
      <c r="AQ12" s="123"/>
      <c r="AR12" s="123"/>
      <c r="AS12" s="123"/>
      <c r="AT12" s="123"/>
      <c r="AU12" s="22"/>
      <c r="AV12" s="22"/>
      <c r="AW12" s="22"/>
      <c r="AX12" s="22"/>
      <c r="AY12" s="22"/>
      <c r="AZ12" s="22"/>
      <c r="BA12" s="22"/>
      <c r="BB12" s="22"/>
      <c r="BC12" s="22"/>
      <c r="BD12" s="22"/>
      <c r="BE12" s="22"/>
      <c r="BF12" s="22"/>
      <c r="BG12" s="22"/>
      <c r="BH12" s="22"/>
      <c r="BI12" s="22"/>
      <c r="BJ12" s="22"/>
      <c r="BK12" s="22"/>
      <c r="BL12" s="22"/>
      <c r="BM12" s="22"/>
      <c r="BN12" s="22"/>
      <c r="BO12" s="22"/>
      <c r="BP12" s="22"/>
      <c r="BQ12" s="22"/>
      <c r="BR12" s="22"/>
      <c r="BS12" s="22"/>
      <c r="BT12" s="22"/>
      <c r="BU12" s="22"/>
      <c r="BV12" s="22"/>
      <c r="BW12" s="22"/>
      <c r="BX12" s="22"/>
      <c r="BY12" s="22"/>
      <c r="BZ12" s="22"/>
      <c r="CA12" s="22"/>
      <c r="CB12" s="22"/>
      <c r="CC12" s="22"/>
    </row>
    <row r="13" spans="2:81" s="26" customFormat="1" ht="13">
      <c r="B13" s="34"/>
      <c r="C13" s="215"/>
      <c r="D13" s="215"/>
      <c r="E13" s="159" t="s">
        <v>135</v>
      </c>
      <c r="F13" s="30" t="s">
        <v>30</v>
      </c>
      <c r="G13" s="216" t="s">
        <v>166</v>
      </c>
      <c r="H13" s="30"/>
      <c r="I13" s="215"/>
      <c r="J13" s="215"/>
      <c r="K13" s="372"/>
      <c r="L13" s="372"/>
      <c r="M13" s="360"/>
      <c r="N13" s="218" t="s">
        <v>97</v>
      </c>
      <c r="O13" s="160" t="s">
        <v>140</v>
      </c>
      <c r="P13" s="160" t="s">
        <v>132</v>
      </c>
      <c r="Q13" s="196"/>
      <c r="R13" s="160"/>
      <c r="S13" s="196"/>
      <c r="T13" s="196"/>
      <c r="U13" s="33" t="s">
        <v>228</v>
      </c>
      <c r="V13" s="157"/>
      <c r="W13" s="28"/>
      <c r="X13" s="123"/>
      <c r="Y13" s="123"/>
      <c r="Z13" s="123"/>
      <c r="AA13" s="123"/>
      <c r="AB13" s="123"/>
      <c r="AC13" s="123"/>
      <c r="AD13" s="253" t="s">
        <v>173</v>
      </c>
      <c r="AE13" s="202" t="s">
        <v>104</v>
      </c>
      <c r="AF13" s="201" t="s">
        <v>23</v>
      </c>
      <c r="AG13" s="123"/>
      <c r="AH13" s="123"/>
      <c r="AI13" s="123"/>
      <c r="AJ13" s="123"/>
      <c r="AK13" s="123"/>
      <c r="AL13" s="123"/>
      <c r="AM13" s="123"/>
      <c r="AN13" s="123"/>
      <c r="AO13" s="123"/>
      <c r="AP13" s="123"/>
      <c r="AQ13" s="123"/>
      <c r="AR13" s="123"/>
      <c r="AS13" s="123"/>
      <c r="AT13" s="123"/>
      <c r="AU13" s="22"/>
      <c r="AV13" s="22"/>
      <c r="AW13" s="22"/>
      <c r="AX13" s="22"/>
      <c r="AY13" s="22"/>
      <c r="AZ13" s="22"/>
      <c r="BA13" s="22"/>
      <c r="BB13" s="22"/>
      <c r="BC13" s="22"/>
      <c r="BD13" s="22"/>
      <c r="BE13" s="22"/>
      <c r="BF13" s="22"/>
      <c r="BG13" s="22"/>
      <c r="BH13" s="22"/>
      <c r="BI13" s="22"/>
      <c r="BJ13" s="22"/>
      <c r="BK13" s="22"/>
      <c r="BL13" s="22"/>
      <c r="BM13" s="22"/>
      <c r="BN13" s="22"/>
      <c r="BO13" s="22"/>
      <c r="BP13" s="22"/>
      <c r="BQ13" s="22"/>
      <c r="BR13" s="22"/>
      <c r="BS13" s="22"/>
      <c r="BT13" s="22"/>
      <c r="BU13" s="22"/>
      <c r="BV13" s="22"/>
      <c r="BW13" s="22"/>
      <c r="BX13" s="22"/>
      <c r="BY13" s="22"/>
      <c r="BZ13" s="22"/>
      <c r="CA13" s="22"/>
      <c r="CB13" s="22"/>
      <c r="CC13" s="22"/>
    </row>
    <row r="14" spans="2:81" s="26" customFormat="1" ht="15" customHeight="1">
      <c r="B14" s="34"/>
      <c r="C14" s="159" t="s">
        <v>115</v>
      </c>
      <c r="D14" s="30" t="s">
        <v>32</v>
      </c>
      <c r="E14" s="159" t="s">
        <v>138</v>
      </c>
      <c r="F14" s="30" t="s">
        <v>34</v>
      </c>
      <c r="G14" s="216" t="s">
        <v>167</v>
      </c>
      <c r="H14" s="30"/>
      <c r="I14" s="30"/>
      <c r="J14" s="30"/>
      <c r="K14" s="30"/>
      <c r="L14" s="30"/>
      <c r="M14" s="360"/>
      <c r="N14" s="218" t="s">
        <v>102</v>
      </c>
      <c r="O14" s="160" t="s">
        <v>143</v>
      </c>
      <c r="P14" s="160" t="s">
        <v>195</v>
      </c>
      <c r="Q14" s="218"/>
      <c r="R14" s="33" t="s">
        <v>144</v>
      </c>
      <c r="S14" s="371" t="s">
        <v>189</v>
      </c>
      <c r="T14" s="371"/>
      <c r="U14" s="236"/>
      <c r="V14" s="157"/>
      <c r="W14" s="28"/>
      <c r="X14" s="123"/>
      <c r="Y14" s="123"/>
      <c r="Z14" s="123"/>
      <c r="AA14" s="123"/>
      <c r="AB14" s="123"/>
      <c r="AC14" s="123"/>
      <c r="AD14" s="252" t="s">
        <v>202</v>
      </c>
      <c r="AE14" s="202" t="s">
        <v>30</v>
      </c>
      <c r="AF14" s="201" t="s">
        <v>29</v>
      </c>
      <c r="AG14" s="123"/>
      <c r="AH14" s="123"/>
      <c r="AI14" s="123"/>
      <c r="AJ14" s="123"/>
      <c r="AK14" s="123"/>
      <c r="AL14" s="123"/>
      <c r="AM14" s="123"/>
      <c r="AN14" s="123"/>
      <c r="AO14" s="123"/>
      <c r="AP14" s="123"/>
      <c r="AQ14" s="123"/>
      <c r="AR14" s="123"/>
      <c r="AS14" s="123"/>
      <c r="AT14" s="123"/>
      <c r="AU14" s="22"/>
      <c r="AV14" s="22"/>
      <c r="AW14" s="22"/>
      <c r="AX14" s="22"/>
      <c r="AY14" s="22"/>
      <c r="AZ14" s="22"/>
      <c r="BA14" s="22"/>
      <c r="BB14" s="22"/>
      <c r="BC14" s="22"/>
      <c r="BD14" s="22"/>
      <c r="BE14" s="22"/>
      <c r="BF14" s="22"/>
      <c r="BG14" s="22"/>
      <c r="BH14" s="22"/>
      <c r="BI14" s="22"/>
      <c r="BJ14" s="22"/>
      <c r="BK14" s="22"/>
      <c r="BL14" s="22"/>
      <c r="BM14" s="22"/>
      <c r="BN14" s="22"/>
      <c r="BO14" s="22"/>
      <c r="BP14" s="22"/>
      <c r="BQ14" s="22"/>
      <c r="BR14" s="22"/>
      <c r="BS14" s="22"/>
      <c r="BT14" s="22"/>
      <c r="BU14" s="22"/>
      <c r="BV14" s="22"/>
      <c r="BW14" s="22"/>
      <c r="BX14" s="22"/>
      <c r="BY14" s="22"/>
      <c r="BZ14" s="22"/>
      <c r="CA14" s="22"/>
      <c r="CB14" s="22"/>
      <c r="CC14" s="22"/>
    </row>
    <row r="15" spans="2:81" s="26" customFormat="1" ht="13">
      <c r="B15" s="34"/>
      <c r="C15" s="159" t="s">
        <v>121</v>
      </c>
      <c r="D15" s="30" t="s">
        <v>38</v>
      </c>
      <c r="E15" s="159" t="s">
        <v>134</v>
      </c>
      <c r="F15" s="30" t="s">
        <v>28</v>
      </c>
      <c r="G15" s="74" t="s">
        <v>129</v>
      </c>
      <c r="H15" s="30"/>
      <c r="I15" s="379" t="s">
        <v>100</v>
      </c>
      <c r="J15" s="379"/>
      <c r="K15" s="372" t="s">
        <v>176</v>
      </c>
      <c r="L15" s="372"/>
      <c r="M15" s="360"/>
      <c r="N15" s="218" t="s">
        <v>177</v>
      </c>
      <c r="O15" s="160" t="s">
        <v>174</v>
      </c>
      <c r="P15" s="218" t="s">
        <v>170</v>
      </c>
      <c r="Q15" s="218"/>
      <c r="R15" s="160"/>
      <c r="S15" s="371"/>
      <c r="T15" s="371"/>
      <c r="U15" s="33" t="s">
        <v>229</v>
      </c>
      <c r="V15" s="157"/>
      <c r="W15" s="28"/>
      <c r="X15" s="123"/>
      <c r="Y15" s="123"/>
      <c r="Z15" s="123"/>
      <c r="AA15" s="123"/>
      <c r="AB15" s="123"/>
      <c r="AC15" s="123"/>
      <c r="AD15" s="191" t="s">
        <v>113</v>
      </c>
      <c r="AE15" s="202" t="s">
        <v>34</v>
      </c>
      <c r="AF15" s="201" t="s">
        <v>33</v>
      </c>
      <c r="AG15" s="123"/>
      <c r="AH15" s="123"/>
      <c r="AI15" s="123"/>
      <c r="AJ15" s="123"/>
      <c r="AK15" s="123"/>
      <c r="AL15" s="123"/>
      <c r="AM15" s="123"/>
      <c r="AN15" s="123"/>
      <c r="AO15" s="123"/>
      <c r="AP15" s="123"/>
      <c r="AQ15" s="123"/>
      <c r="AR15" s="123"/>
      <c r="AS15" s="123"/>
      <c r="AT15" s="123"/>
      <c r="AU15" s="22"/>
      <c r="AV15" s="22"/>
      <c r="AW15" s="22"/>
      <c r="AX15" s="22"/>
      <c r="AY15" s="22"/>
      <c r="AZ15" s="22"/>
      <c r="BA15" s="22"/>
      <c r="BB15" s="22"/>
      <c r="BC15" s="22"/>
      <c r="BD15" s="22"/>
      <c r="BE15" s="22"/>
      <c r="BF15" s="22"/>
      <c r="BG15" s="22"/>
      <c r="BH15" s="22"/>
      <c r="BI15" s="22"/>
      <c r="BJ15" s="22"/>
      <c r="BK15" s="22"/>
      <c r="BL15" s="22"/>
      <c r="BM15" s="22"/>
      <c r="BN15" s="22"/>
      <c r="BO15" s="22"/>
      <c r="BP15" s="22"/>
      <c r="BQ15" s="22"/>
      <c r="BR15" s="22"/>
      <c r="BS15" s="22"/>
      <c r="BT15" s="22"/>
      <c r="BU15" s="22"/>
      <c r="BV15" s="22"/>
      <c r="BW15" s="22"/>
      <c r="BX15" s="22"/>
      <c r="BY15" s="22"/>
      <c r="BZ15" s="22"/>
      <c r="CA15" s="22"/>
      <c r="CB15" s="22"/>
      <c r="CC15" s="22"/>
    </row>
    <row r="16" spans="2:81" s="26" customFormat="1" ht="13">
      <c r="B16" s="34"/>
      <c r="C16" s="159" t="s">
        <v>111</v>
      </c>
      <c r="D16" s="74" t="s">
        <v>26</v>
      </c>
      <c r="E16" s="30"/>
      <c r="F16" s="159"/>
      <c r="G16" s="74"/>
      <c r="H16" s="30"/>
      <c r="I16" s="80"/>
      <c r="J16" s="80"/>
      <c r="K16" s="372"/>
      <c r="L16" s="372"/>
      <c r="M16" s="360"/>
      <c r="N16" s="218" t="s">
        <v>107</v>
      </c>
      <c r="O16" s="198"/>
      <c r="P16" s="198"/>
      <c r="Q16" s="196"/>
      <c r="R16" s="33"/>
      <c r="S16" s="371"/>
      <c r="T16" s="371"/>
      <c r="U16" s="157"/>
      <c r="V16" s="157"/>
      <c r="W16" s="28"/>
      <c r="X16" s="123"/>
      <c r="Y16" s="123"/>
      <c r="Z16" s="123"/>
      <c r="AA16" s="123"/>
      <c r="AB16" s="123"/>
      <c r="AC16" s="123"/>
      <c r="AD16" s="189" t="s">
        <v>99</v>
      </c>
      <c r="AE16" s="202" t="s">
        <v>141</v>
      </c>
      <c r="AF16" s="201" t="s">
        <v>27</v>
      </c>
      <c r="AH16" s="123"/>
      <c r="AI16" s="123"/>
      <c r="AJ16" s="123"/>
      <c r="AK16" s="123"/>
      <c r="AL16" s="123"/>
      <c r="AM16" s="123"/>
      <c r="AN16" s="123"/>
      <c r="AO16" s="123"/>
      <c r="AP16" s="123"/>
      <c r="AQ16" s="123"/>
      <c r="AR16" s="123"/>
      <c r="AS16" s="123"/>
      <c r="AT16" s="123"/>
      <c r="AU16" s="22"/>
      <c r="AV16" s="22"/>
      <c r="AW16" s="22"/>
      <c r="AX16" s="22"/>
      <c r="AY16" s="22"/>
      <c r="AZ16" s="22"/>
      <c r="BA16" s="22"/>
      <c r="BB16" s="22"/>
      <c r="BC16" s="22"/>
      <c r="BD16" s="22"/>
      <c r="BE16" s="22"/>
      <c r="BF16" s="22"/>
      <c r="BG16" s="22"/>
      <c r="BH16" s="22"/>
      <c r="BI16" s="22"/>
      <c r="BJ16" s="22"/>
      <c r="BK16" s="22"/>
      <c r="BL16" s="22"/>
      <c r="BM16" s="22"/>
      <c r="BN16" s="22"/>
      <c r="BO16" s="22"/>
      <c r="BP16" s="22"/>
      <c r="BQ16" s="22"/>
      <c r="BR16" s="22"/>
      <c r="BS16" s="22"/>
      <c r="BT16" s="22"/>
      <c r="BU16" s="22"/>
      <c r="BV16" s="22"/>
      <c r="BW16" s="22"/>
      <c r="BX16" s="22"/>
      <c r="BY16" s="22"/>
      <c r="BZ16" s="22"/>
      <c r="CA16" s="22"/>
      <c r="CB16" s="22"/>
      <c r="CC16" s="22"/>
    </row>
    <row r="17" spans="2:81" s="26" customFormat="1" ht="7.5" customHeight="1" thickBot="1">
      <c r="B17" s="34"/>
      <c r="C17" s="164"/>
      <c r="D17" s="30"/>
      <c r="E17" s="30"/>
      <c r="F17" s="164"/>
      <c r="G17" s="74"/>
      <c r="H17" s="30"/>
      <c r="I17" s="80"/>
      <c r="J17" s="80"/>
      <c r="K17" s="80"/>
      <c r="L17" s="80"/>
      <c r="M17" s="80"/>
      <c r="N17" s="80"/>
      <c r="O17" s="80"/>
      <c r="P17" s="80"/>
      <c r="Q17" s="80"/>
      <c r="R17" s="30"/>
      <c r="S17" s="33"/>
      <c r="T17" s="33"/>
      <c r="U17" s="30"/>
      <c r="V17" s="33"/>
      <c r="W17" s="28"/>
      <c r="X17" s="123"/>
      <c r="Y17" s="123"/>
      <c r="Z17" s="123"/>
      <c r="AA17" s="123"/>
      <c r="AB17" s="123"/>
      <c r="AC17" s="123"/>
      <c r="AD17" s="192" t="s">
        <v>124</v>
      </c>
      <c r="AE17" s="201"/>
      <c r="AF17" s="201"/>
      <c r="AG17" s="123"/>
      <c r="AH17" s="123"/>
      <c r="AI17" s="123"/>
      <c r="AJ17" s="123"/>
      <c r="AK17" s="123"/>
      <c r="AL17" s="123"/>
      <c r="AM17" s="123"/>
      <c r="AN17" s="123"/>
      <c r="AO17" s="123"/>
      <c r="AP17" s="123"/>
      <c r="AQ17" s="123"/>
      <c r="AR17" s="123"/>
      <c r="AS17" s="123"/>
      <c r="AT17" s="123"/>
      <c r="AU17" s="22"/>
      <c r="AV17" s="22"/>
      <c r="AW17" s="22"/>
      <c r="AX17" s="22"/>
      <c r="AY17" s="22"/>
      <c r="AZ17" s="22"/>
      <c r="BA17" s="22"/>
      <c r="BB17" s="22"/>
      <c r="BC17" s="22"/>
      <c r="BD17" s="22"/>
      <c r="BE17" s="22"/>
      <c r="BF17" s="22"/>
      <c r="BG17" s="22"/>
      <c r="BH17" s="22"/>
      <c r="BI17" s="22"/>
      <c r="BJ17" s="22"/>
      <c r="BK17" s="22"/>
      <c r="BL17" s="22"/>
      <c r="BM17" s="22"/>
      <c r="BN17" s="22"/>
      <c r="BO17" s="22"/>
      <c r="BP17" s="22"/>
      <c r="BQ17" s="22"/>
      <c r="BR17" s="22"/>
      <c r="BS17" s="22"/>
      <c r="BT17" s="22"/>
      <c r="BU17" s="22"/>
      <c r="BV17" s="22"/>
      <c r="BW17" s="22"/>
      <c r="BX17" s="22"/>
      <c r="BY17" s="22"/>
      <c r="BZ17" s="22"/>
      <c r="CA17" s="22"/>
      <c r="CB17" s="22"/>
      <c r="CC17" s="22"/>
    </row>
    <row r="18" spans="2:81" ht="14" thickBot="1">
      <c r="B18" s="165"/>
      <c r="C18" s="376" t="s">
        <v>40</v>
      </c>
      <c r="D18" s="377"/>
      <c r="E18" s="377"/>
      <c r="F18" s="377"/>
      <c r="G18" s="378"/>
      <c r="H18" s="376" t="s">
        <v>41</v>
      </c>
      <c r="I18" s="377"/>
      <c r="J18" s="377"/>
      <c r="K18" s="377"/>
      <c r="L18" s="378"/>
      <c r="M18" s="376" t="s">
        <v>42</v>
      </c>
      <c r="N18" s="377"/>
      <c r="O18" s="377"/>
      <c r="P18" s="377"/>
      <c r="Q18" s="378"/>
      <c r="R18" s="376" t="s">
        <v>43</v>
      </c>
      <c r="S18" s="377"/>
      <c r="T18" s="377"/>
      <c r="U18" s="377"/>
      <c r="V18" s="378"/>
      <c r="W18" s="28"/>
      <c r="AC18" s="123"/>
      <c r="AD18" s="219" t="s">
        <v>179</v>
      </c>
    </row>
    <row r="19" spans="2:81" ht="14" thickBot="1">
      <c r="B19" s="165"/>
      <c r="C19" s="230" t="s">
        <v>145</v>
      </c>
      <c r="D19" s="167" t="s">
        <v>146</v>
      </c>
      <c r="E19" s="167" t="s">
        <v>147</v>
      </c>
      <c r="F19" s="167" t="s">
        <v>148</v>
      </c>
      <c r="G19" s="169" t="s">
        <v>149</v>
      </c>
      <c r="H19" s="166" t="s">
        <v>145</v>
      </c>
      <c r="I19" s="167" t="s">
        <v>146</v>
      </c>
      <c r="J19" s="167" t="s">
        <v>147</v>
      </c>
      <c r="K19" s="167" t="s">
        <v>148</v>
      </c>
      <c r="L19" s="167" t="s">
        <v>149</v>
      </c>
      <c r="M19" s="166" t="s">
        <v>145</v>
      </c>
      <c r="N19" s="167" t="s">
        <v>146</v>
      </c>
      <c r="O19" s="167" t="s">
        <v>147</v>
      </c>
      <c r="P19" s="167" t="s">
        <v>148</v>
      </c>
      <c r="Q19" s="169" t="s">
        <v>149</v>
      </c>
      <c r="R19" s="168" t="s">
        <v>145</v>
      </c>
      <c r="S19" s="167" t="s">
        <v>146</v>
      </c>
      <c r="T19" s="167" t="s">
        <v>147</v>
      </c>
      <c r="U19" s="167" t="s">
        <v>148</v>
      </c>
      <c r="V19" s="169" t="s">
        <v>149</v>
      </c>
      <c r="W19" s="28"/>
      <c r="AC19" s="123"/>
      <c r="AD19" s="252" t="s">
        <v>207</v>
      </c>
    </row>
    <row r="20" spans="2:81" s="26" customFormat="1" ht="13">
      <c r="B20" s="34"/>
      <c r="C20" s="170">
        <v>0</v>
      </c>
      <c r="D20" s="240" t="str">
        <f>IFERROR(VLOOKUP(E20,$AE$3:$AF$17,2,FALSE),"")</f>
        <v>CM</v>
      </c>
      <c r="E20" s="241" t="s">
        <v>32</v>
      </c>
      <c r="F20" s="239" t="s">
        <v>242</v>
      </c>
      <c r="G20" s="246" t="s">
        <v>236</v>
      </c>
      <c r="H20" s="171">
        <v>0</v>
      </c>
      <c r="I20" s="240" t="str">
        <f t="shared" ref="I20:I59" si="0">IFERROR(VLOOKUP(J20,$AE$3:$AF$17,2,FALSE),"")</f>
        <v>CM</v>
      </c>
      <c r="J20" s="241" t="s">
        <v>32</v>
      </c>
      <c r="K20" s="239" t="s">
        <v>242</v>
      </c>
      <c r="L20" s="246" t="s">
        <v>236</v>
      </c>
      <c r="M20" s="171">
        <v>0</v>
      </c>
      <c r="N20" s="240" t="str">
        <f t="shared" ref="N20:N59" si="1">IFERROR(VLOOKUP(O20,$AE$3:$AF$17,2,FALSE),"")</f>
        <v>CM</v>
      </c>
      <c r="O20" s="241" t="s">
        <v>32</v>
      </c>
      <c r="P20" s="264" t="s">
        <v>245</v>
      </c>
      <c r="Q20" s="265" t="s">
        <v>236</v>
      </c>
      <c r="R20" s="172">
        <v>0</v>
      </c>
      <c r="S20" s="240" t="str">
        <f>IFERROR(VLOOKUP(T20,$AE$3:$AF$17,2,FALSE),"")</f>
        <v>CD</v>
      </c>
      <c r="T20" s="241" t="s">
        <v>119</v>
      </c>
      <c r="U20" s="239" t="s">
        <v>246</v>
      </c>
      <c r="V20" s="246" t="s">
        <v>236</v>
      </c>
      <c r="W20" s="28"/>
      <c r="X20" s="123"/>
      <c r="Y20" s="123"/>
      <c r="Z20" s="123"/>
      <c r="AA20" s="123"/>
      <c r="AB20" s="123"/>
      <c r="AC20" s="123"/>
      <c r="AD20" s="189" t="s">
        <v>156</v>
      </c>
      <c r="AE20" s="201"/>
      <c r="AF20" s="201"/>
      <c r="AG20" s="123"/>
      <c r="AH20" s="123"/>
      <c r="AI20" s="123"/>
      <c r="AJ20" s="123"/>
      <c r="AK20" s="123"/>
      <c r="AL20" s="123"/>
      <c r="AM20" s="123"/>
      <c r="AN20" s="123"/>
      <c r="AO20" s="123"/>
      <c r="AP20" s="123"/>
      <c r="AQ20" s="123"/>
      <c r="AR20" s="123"/>
      <c r="AS20" s="123"/>
      <c r="AT20" s="123"/>
      <c r="AU20" s="22"/>
      <c r="AV20" s="22"/>
      <c r="AW20" s="22"/>
      <c r="AX20" s="22"/>
      <c r="AY20" s="22"/>
      <c r="AZ20" s="22"/>
      <c r="BA20" s="22"/>
      <c r="BB20" s="22"/>
      <c r="BC20" s="22"/>
      <c r="BD20" s="22"/>
      <c r="BE20" s="22"/>
      <c r="BF20" s="22"/>
      <c r="BG20" s="22"/>
      <c r="BH20" s="22"/>
      <c r="BI20" s="22"/>
      <c r="BJ20" s="22"/>
      <c r="BK20" s="22"/>
      <c r="BL20" s="22"/>
      <c r="BM20" s="22"/>
      <c r="BN20" s="22"/>
      <c r="BO20" s="22"/>
      <c r="BP20" s="22"/>
      <c r="BQ20" s="22"/>
      <c r="BR20" s="22"/>
      <c r="BS20" s="22"/>
      <c r="BT20" s="22"/>
      <c r="BU20" s="22"/>
      <c r="BV20" s="22"/>
      <c r="BW20" s="22"/>
      <c r="BX20" s="22"/>
      <c r="BY20" s="22"/>
      <c r="BZ20" s="22"/>
      <c r="CA20" s="22"/>
      <c r="CB20" s="22"/>
      <c r="CC20" s="22"/>
    </row>
    <row r="21" spans="2:81" s="26" customFormat="1" ht="13">
      <c r="B21" s="34"/>
      <c r="C21" s="173">
        <v>0.5</v>
      </c>
      <c r="D21" s="242" t="str">
        <f t="shared" ref="D21:D59" si="2">IFERROR(VLOOKUP(E21,$AE$3:$AF$17,2,FALSE),"")</f>
        <v>RC</v>
      </c>
      <c r="E21" s="243" t="s">
        <v>141</v>
      </c>
      <c r="F21" s="247"/>
      <c r="G21" s="248"/>
      <c r="H21" s="174">
        <v>0.5</v>
      </c>
      <c r="I21" s="242" t="str">
        <f t="shared" si="0"/>
        <v>CM</v>
      </c>
      <c r="J21" s="247" t="s">
        <v>32</v>
      </c>
      <c r="K21" s="247" t="s">
        <v>242</v>
      </c>
      <c r="L21" s="265" t="s">
        <v>236</v>
      </c>
      <c r="M21" s="174">
        <v>0.5</v>
      </c>
      <c r="N21" s="242" t="str">
        <f t="shared" si="1"/>
        <v>CM</v>
      </c>
      <c r="O21" s="247" t="s">
        <v>32</v>
      </c>
      <c r="P21" s="264" t="s">
        <v>245</v>
      </c>
      <c r="Q21" s="265" t="s">
        <v>236</v>
      </c>
      <c r="R21" s="175">
        <v>0.5</v>
      </c>
      <c r="S21" s="242" t="str">
        <f t="shared" ref="S21:S59" si="3">IFERROR(VLOOKUP(T21,$AE$3:$AF$17,2,FALSE),"")</f>
        <v>RC</v>
      </c>
      <c r="T21" s="247" t="s">
        <v>141</v>
      </c>
      <c r="U21" s="247"/>
      <c r="V21" s="248"/>
      <c r="W21" s="28"/>
      <c r="X21" s="123"/>
      <c r="Y21" s="123"/>
      <c r="Z21" s="123"/>
      <c r="AA21" s="123"/>
      <c r="AB21" s="123"/>
      <c r="AC21" s="123"/>
      <c r="AD21" s="193" t="s">
        <v>133</v>
      </c>
      <c r="AE21" s="201"/>
      <c r="AF21" s="201"/>
      <c r="AG21" s="123"/>
      <c r="AH21" s="123"/>
      <c r="AI21" s="123"/>
      <c r="AJ21" s="123"/>
      <c r="AK21" s="123"/>
      <c r="AL21" s="123"/>
      <c r="AM21" s="123"/>
      <c r="AN21" s="123"/>
      <c r="AO21" s="123"/>
      <c r="AP21" s="123"/>
      <c r="AQ21" s="123"/>
      <c r="AR21" s="123"/>
      <c r="AS21" s="123"/>
      <c r="AT21" s="123"/>
      <c r="AU21" s="22"/>
      <c r="AV21" s="22"/>
      <c r="AW21" s="22"/>
      <c r="AX21" s="22"/>
      <c r="AY21" s="22"/>
      <c r="AZ21" s="22"/>
      <c r="BA21" s="22"/>
      <c r="BB21" s="22"/>
      <c r="BC21" s="22"/>
      <c r="BD21" s="22"/>
      <c r="BE21" s="22"/>
      <c r="BF21" s="22"/>
      <c r="BG21" s="22"/>
      <c r="BH21" s="22"/>
      <c r="BI21" s="22"/>
      <c r="BJ21" s="22"/>
      <c r="BK21" s="22"/>
      <c r="BL21" s="22"/>
      <c r="BM21" s="22"/>
      <c r="BN21" s="22"/>
      <c r="BO21" s="22"/>
      <c r="BP21" s="22"/>
      <c r="BQ21" s="22"/>
      <c r="BR21" s="22"/>
      <c r="BS21" s="22"/>
      <c r="BT21" s="22"/>
      <c r="BU21" s="22"/>
      <c r="BV21" s="22"/>
      <c r="BW21" s="22"/>
      <c r="BX21" s="22"/>
      <c r="BY21" s="22"/>
      <c r="BZ21" s="22"/>
      <c r="CA21" s="22"/>
      <c r="CB21" s="22"/>
      <c r="CC21" s="22"/>
    </row>
    <row r="22" spans="2:81" s="26" customFormat="1" ht="13">
      <c r="B22" s="34"/>
      <c r="C22" s="173">
        <v>1</v>
      </c>
      <c r="D22" s="242" t="str">
        <f t="shared" si="2"/>
        <v>CM</v>
      </c>
      <c r="E22" s="243" t="s">
        <v>32</v>
      </c>
      <c r="F22" s="247" t="s">
        <v>245</v>
      </c>
      <c r="G22" s="248" t="s">
        <v>236</v>
      </c>
      <c r="H22" s="174">
        <v>1</v>
      </c>
      <c r="I22" s="242" t="str">
        <f t="shared" si="0"/>
        <v>CM</v>
      </c>
      <c r="J22" s="247" t="s">
        <v>32</v>
      </c>
      <c r="K22" s="247" t="s">
        <v>245</v>
      </c>
      <c r="L22" s="248" t="s">
        <v>236</v>
      </c>
      <c r="M22" s="174">
        <v>1</v>
      </c>
      <c r="N22" s="242" t="str">
        <f t="shared" si="1"/>
        <v>CD</v>
      </c>
      <c r="O22" s="247" t="s">
        <v>119</v>
      </c>
      <c r="P22" s="247" t="s">
        <v>246</v>
      </c>
      <c r="Q22" s="248" t="s">
        <v>236</v>
      </c>
      <c r="R22" s="175">
        <v>1</v>
      </c>
      <c r="S22" s="242" t="str">
        <f t="shared" si="3"/>
        <v>CD</v>
      </c>
      <c r="T22" s="247" t="s">
        <v>119</v>
      </c>
      <c r="U22" s="247" t="s">
        <v>238</v>
      </c>
      <c r="V22" s="248" t="s">
        <v>236</v>
      </c>
      <c r="W22" s="28"/>
      <c r="X22" s="123"/>
      <c r="Y22" s="123"/>
      <c r="Z22" s="123"/>
      <c r="AA22" s="123"/>
      <c r="AB22" s="123"/>
      <c r="AC22" s="123"/>
      <c r="AD22" s="254" t="s">
        <v>161</v>
      </c>
      <c r="AE22" s="201"/>
      <c r="AF22" s="201"/>
      <c r="AG22" s="123"/>
      <c r="AH22" s="123"/>
      <c r="AI22" s="123"/>
      <c r="AJ22" s="123"/>
      <c r="AK22" s="123"/>
      <c r="AL22" s="123"/>
      <c r="AM22" s="123"/>
      <c r="AN22" s="123"/>
      <c r="AO22" s="123"/>
      <c r="AP22" s="123"/>
      <c r="AQ22" s="123"/>
      <c r="AR22" s="123"/>
      <c r="AS22" s="123"/>
      <c r="AT22" s="123"/>
      <c r="AU22" s="22"/>
      <c r="AV22" s="22"/>
      <c r="AW22" s="22"/>
      <c r="AX22" s="22"/>
      <c r="AY22" s="22"/>
      <c r="AZ22" s="22"/>
      <c r="BA22" s="22"/>
      <c r="BB22" s="22"/>
      <c r="BC22" s="22"/>
      <c r="BD22" s="22"/>
      <c r="BE22" s="22"/>
      <c r="BF22" s="22"/>
      <c r="BG22" s="22"/>
      <c r="BH22" s="22"/>
      <c r="BI22" s="22"/>
      <c r="BJ22" s="22"/>
      <c r="BK22" s="22"/>
      <c r="BL22" s="22"/>
      <c r="BM22" s="22"/>
      <c r="BN22" s="22"/>
      <c r="BO22" s="22"/>
      <c r="BP22" s="22"/>
      <c r="BQ22" s="22"/>
      <c r="BR22" s="22"/>
      <c r="BS22" s="22"/>
      <c r="BT22" s="22"/>
      <c r="BU22" s="22"/>
      <c r="BV22" s="22"/>
      <c r="BW22" s="22"/>
      <c r="BX22" s="22"/>
      <c r="BY22" s="22"/>
      <c r="BZ22" s="22"/>
      <c r="CA22" s="22"/>
      <c r="CB22" s="22"/>
      <c r="CC22" s="22"/>
    </row>
    <row r="23" spans="2:81" s="26" customFormat="1" ht="13">
      <c r="B23" s="34"/>
      <c r="C23" s="173">
        <v>1.5</v>
      </c>
      <c r="D23" s="242" t="str">
        <f t="shared" si="2"/>
        <v>RC</v>
      </c>
      <c r="E23" s="243" t="s">
        <v>141</v>
      </c>
      <c r="F23" s="247"/>
      <c r="G23" s="248"/>
      <c r="H23" s="174">
        <v>1.5</v>
      </c>
      <c r="I23" s="242" t="str">
        <f t="shared" si="0"/>
        <v>CRM</v>
      </c>
      <c r="J23" s="247" t="s">
        <v>26</v>
      </c>
      <c r="K23" s="264" t="s">
        <v>237</v>
      </c>
      <c r="L23" s="265"/>
      <c r="M23" s="174">
        <v>1.5</v>
      </c>
      <c r="N23" s="242" t="str">
        <f t="shared" si="1"/>
        <v>RC</v>
      </c>
      <c r="O23" s="247" t="s">
        <v>141</v>
      </c>
      <c r="P23" s="247"/>
      <c r="Q23" s="248"/>
      <c r="R23" s="175">
        <v>1.5</v>
      </c>
      <c r="S23" s="242" t="str">
        <f t="shared" si="3"/>
        <v>RC</v>
      </c>
      <c r="T23" s="247" t="s">
        <v>141</v>
      </c>
      <c r="U23" s="264"/>
      <c r="V23" s="248"/>
      <c r="W23" s="28"/>
      <c r="X23" s="123"/>
      <c r="Y23" s="123"/>
      <c r="Z23" s="123"/>
      <c r="AA23" s="123"/>
      <c r="AB23" s="123"/>
      <c r="AC23" s="123"/>
      <c r="AD23" s="252" t="s">
        <v>203</v>
      </c>
      <c r="AE23" s="201"/>
      <c r="AF23" s="201"/>
      <c r="AG23" s="123"/>
      <c r="AH23" s="123"/>
      <c r="AI23" s="123"/>
      <c r="AJ23" s="123"/>
      <c r="AK23" s="123"/>
      <c r="AL23" s="123"/>
      <c r="AM23" s="123"/>
      <c r="AN23" s="123"/>
      <c r="AO23" s="123"/>
      <c r="AP23" s="123"/>
      <c r="AQ23" s="123"/>
      <c r="AR23" s="123"/>
      <c r="AS23" s="123"/>
      <c r="AT23" s="123"/>
      <c r="AU23" s="22"/>
      <c r="AV23" s="22"/>
      <c r="AW23" s="22"/>
      <c r="AX23" s="22"/>
      <c r="AY23" s="22"/>
      <c r="AZ23" s="22"/>
      <c r="BA23" s="22"/>
      <c r="BB23" s="22"/>
      <c r="BC23" s="22"/>
      <c r="BD23" s="22"/>
      <c r="BE23" s="22"/>
      <c r="BF23" s="22"/>
      <c r="BG23" s="22"/>
      <c r="BH23" s="22"/>
      <c r="BI23" s="22"/>
      <c r="BJ23" s="22"/>
      <c r="BK23" s="22"/>
      <c r="BL23" s="22"/>
      <c r="BM23" s="22"/>
      <c r="BN23" s="22"/>
      <c r="BO23" s="22"/>
      <c r="BP23" s="22"/>
      <c r="BQ23" s="22"/>
      <c r="BR23" s="22"/>
      <c r="BS23" s="22"/>
      <c r="BT23" s="22"/>
      <c r="BU23" s="22"/>
      <c r="BV23" s="22"/>
      <c r="BW23" s="22"/>
      <c r="BX23" s="22"/>
      <c r="BY23" s="22"/>
      <c r="BZ23" s="22"/>
      <c r="CA23" s="22"/>
      <c r="CB23" s="22"/>
      <c r="CC23" s="22"/>
    </row>
    <row r="24" spans="2:81" s="26" customFormat="1" ht="14.25" customHeight="1">
      <c r="B24" s="34"/>
      <c r="C24" s="173">
        <v>2</v>
      </c>
      <c r="D24" s="242" t="str">
        <f t="shared" si="2"/>
        <v>ACI</v>
      </c>
      <c r="E24" s="243" t="s">
        <v>91</v>
      </c>
      <c r="F24" s="247" t="s">
        <v>85</v>
      </c>
      <c r="G24" s="248"/>
      <c r="H24" s="174">
        <v>2</v>
      </c>
      <c r="I24" s="242" t="str">
        <f t="shared" si="0"/>
        <v>CD</v>
      </c>
      <c r="J24" s="247" t="s">
        <v>119</v>
      </c>
      <c r="K24" s="247" t="s">
        <v>246</v>
      </c>
      <c r="L24" s="248" t="s">
        <v>236</v>
      </c>
      <c r="M24" s="174">
        <v>2</v>
      </c>
      <c r="N24" s="242" t="str">
        <f t="shared" si="1"/>
        <v>RC</v>
      </c>
      <c r="O24" s="247" t="s">
        <v>141</v>
      </c>
      <c r="P24" s="247"/>
      <c r="Q24" s="248"/>
      <c r="R24" s="175">
        <v>2</v>
      </c>
      <c r="S24" s="242" t="str">
        <f t="shared" si="3"/>
        <v>RC</v>
      </c>
      <c r="T24" s="247" t="s">
        <v>141</v>
      </c>
      <c r="U24" s="264"/>
      <c r="V24" s="248"/>
      <c r="W24" s="28"/>
      <c r="X24" s="123"/>
      <c r="Y24" s="123"/>
      <c r="Z24" s="123"/>
      <c r="AA24" s="123"/>
      <c r="AB24" s="123"/>
      <c r="AC24" s="123"/>
      <c r="AD24" s="252" t="s">
        <v>204</v>
      </c>
      <c r="AE24" s="201"/>
      <c r="AF24" s="201"/>
      <c r="AG24" s="123"/>
      <c r="AH24" s="123"/>
      <c r="AI24" s="123"/>
      <c r="AJ24" s="123"/>
      <c r="AK24" s="123"/>
      <c r="AL24" s="123"/>
      <c r="AM24" s="123"/>
      <c r="AN24" s="123"/>
      <c r="AO24" s="123"/>
      <c r="AP24" s="123"/>
      <c r="AQ24" s="123"/>
      <c r="AR24" s="123"/>
      <c r="AS24" s="123"/>
      <c r="AT24" s="123"/>
      <c r="AU24" s="22"/>
      <c r="AV24" s="22"/>
      <c r="AW24" s="22"/>
      <c r="AX24" s="22"/>
      <c r="AY24" s="22"/>
      <c r="AZ24" s="22"/>
      <c r="BA24" s="22"/>
      <c r="BB24" s="22"/>
      <c r="BC24" s="22"/>
      <c r="BD24" s="22"/>
      <c r="BE24" s="22"/>
      <c r="BF24" s="22"/>
      <c r="BG24" s="22"/>
      <c r="BH24" s="22"/>
      <c r="BI24" s="22"/>
      <c r="BJ24" s="22"/>
      <c r="BK24" s="22"/>
      <c r="BL24" s="22"/>
      <c r="BM24" s="22"/>
      <c r="BN24" s="22"/>
      <c r="BO24" s="22"/>
      <c r="BP24" s="22"/>
      <c r="BQ24" s="22"/>
      <c r="BR24" s="22"/>
      <c r="BS24" s="22"/>
      <c r="BT24" s="22"/>
      <c r="BU24" s="22"/>
      <c r="BV24" s="22"/>
      <c r="BW24" s="22"/>
      <c r="BX24" s="22"/>
      <c r="BY24" s="22"/>
      <c r="BZ24" s="22"/>
      <c r="CA24" s="22"/>
      <c r="CB24" s="22"/>
      <c r="CC24" s="22"/>
    </row>
    <row r="25" spans="2:81" s="26" customFormat="1" ht="14.25" customHeight="1">
      <c r="B25" s="34"/>
      <c r="C25" s="173">
        <v>2.5</v>
      </c>
      <c r="D25" s="242" t="str">
        <f t="shared" si="2"/>
        <v>CM</v>
      </c>
      <c r="E25" s="243" t="s">
        <v>32</v>
      </c>
      <c r="F25" s="247" t="s">
        <v>245</v>
      </c>
      <c r="G25" s="248" t="s">
        <v>236</v>
      </c>
      <c r="H25" s="174">
        <v>2.5</v>
      </c>
      <c r="I25" s="242" t="str">
        <f t="shared" si="0"/>
        <v>CM</v>
      </c>
      <c r="J25" s="247" t="s">
        <v>32</v>
      </c>
      <c r="K25" s="264" t="s">
        <v>245</v>
      </c>
      <c r="L25" s="265" t="s">
        <v>236</v>
      </c>
      <c r="M25" s="174">
        <v>2.5</v>
      </c>
      <c r="N25" s="242" t="str">
        <f t="shared" si="1"/>
        <v>CD</v>
      </c>
      <c r="O25" s="247" t="s">
        <v>119</v>
      </c>
      <c r="P25" s="264" t="s">
        <v>250</v>
      </c>
      <c r="Q25" s="265" t="s">
        <v>236</v>
      </c>
      <c r="R25" s="175">
        <v>2.5</v>
      </c>
      <c r="S25" s="242" t="str">
        <f t="shared" si="3"/>
        <v>CD</v>
      </c>
      <c r="T25" s="247" t="s">
        <v>119</v>
      </c>
      <c r="U25" s="264" t="s">
        <v>246</v>
      </c>
      <c r="V25" s="248" t="s">
        <v>236</v>
      </c>
      <c r="W25" s="28"/>
      <c r="X25" s="123"/>
      <c r="Y25" s="123"/>
      <c r="Z25" s="123"/>
      <c r="AA25" s="123"/>
      <c r="AB25" s="123"/>
      <c r="AC25" s="123"/>
      <c r="AD25" s="193" t="s">
        <v>137</v>
      </c>
      <c r="AE25" s="201"/>
      <c r="AF25" s="201"/>
      <c r="AG25" s="123"/>
      <c r="AH25" s="123"/>
      <c r="AI25" s="123"/>
      <c r="AJ25" s="123"/>
      <c r="AK25" s="123"/>
      <c r="AL25" s="123"/>
      <c r="AM25" s="123"/>
      <c r="AN25" s="123"/>
      <c r="AO25" s="123"/>
      <c r="AP25" s="123"/>
      <c r="AQ25" s="123"/>
      <c r="AR25" s="123"/>
      <c r="AS25" s="123"/>
      <c r="AT25" s="123"/>
      <c r="AU25" s="22"/>
      <c r="AV25" s="22"/>
      <c r="AW25" s="22"/>
      <c r="AX25" s="22"/>
      <c r="AY25" s="22"/>
      <c r="AZ25" s="22"/>
      <c r="BA25" s="22"/>
      <c r="BB25" s="22"/>
      <c r="BC25" s="22"/>
      <c r="BD25" s="22"/>
      <c r="BE25" s="22"/>
      <c r="BF25" s="22"/>
      <c r="BG25" s="22"/>
      <c r="BH25" s="22"/>
      <c r="BI25" s="22"/>
      <c r="BJ25" s="22"/>
      <c r="BK25" s="22"/>
      <c r="BL25" s="22"/>
      <c r="BM25" s="22"/>
      <c r="BN25" s="22"/>
      <c r="BO25" s="22"/>
      <c r="BP25" s="22"/>
      <c r="BQ25" s="22"/>
      <c r="BR25" s="22"/>
      <c r="BS25" s="22"/>
      <c r="BT25" s="22"/>
      <c r="BU25" s="22"/>
      <c r="BV25" s="22"/>
      <c r="BW25" s="22"/>
      <c r="BX25" s="22"/>
      <c r="BY25" s="22"/>
      <c r="BZ25" s="22"/>
      <c r="CA25" s="22"/>
      <c r="CB25" s="22"/>
      <c r="CC25" s="22"/>
    </row>
    <row r="26" spans="2:81" s="26" customFormat="1" ht="14.25" customHeight="1">
      <c r="B26" s="34"/>
      <c r="C26" s="173">
        <v>3</v>
      </c>
      <c r="D26" s="242" t="str">
        <f t="shared" si="2"/>
        <v>CD</v>
      </c>
      <c r="E26" s="243" t="s">
        <v>119</v>
      </c>
      <c r="F26" s="247" t="s">
        <v>237</v>
      </c>
      <c r="G26" s="248" t="s">
        <v>236</v>
      </c>
      <c r="H26" s="174">
        <v>3</v>
      </c>
      <c r="I26" s="242" t="str">
        <f t="shared" si="0"/>
        <v>CM</v>
      </c>
      <c r="J26" s="247" t="s">
        <v>32</v>
      </c>
      <c r="K26" s="264" t="s">
        <v>245</v>
      </c>
      <c r="L26" s="265" t="s">
        <v>236</v>
      </c>
      <c r="M26" s="174">
        <v>3</v>
      </c>
      <c r="N26" s="242" t="str">
        <f t="shared" si="1"/>
        <v>RC</v>
      </c>
      <c r="O26" s="247" t="s">
        <v>141</v>
      </c>
      <c r="P26" s="264"/>
      <c r="Q26" s="265"/>
      <c r="R26" s="175">
        <v>3</v>
      </c>
      <c r="S26" s="242" t="str">
        <f t="shared" si="3"/>
        <v>CM</v>
      </c>
      <c r="T26" s="247" t="s">
        <v>32</v>
      </c>
      <c r="U26" s="264" t="s">
        <v>245</v>
      </c>
      <c r="V26" s="248" t="s">
        <v>236</v>
      </c>
      <c r="W26" s="28"/>
      <c r="X26" s="123"/>
      <c r="Y26" s="123"/>
      <c r="Z26" s="123"/>
      <c r="AA26" s="123"/>
      <c r="AB26" s="123"/>
      <c r="AC26" s="123"/>
      <c r="AD26" s="255" t="s">
        <v>163</v>
      </c>
      <c r="AE26" s="201"/>
      <c r="AF26" s="201"/>
      <c r="AG26" s="123"/>
      <c r="AH26" s="123"/>
      <c r="AI26" s="123"/>
      <c r="AJ26" s="123"/>
      <c r="AK26" s="123"/>
      <c r="AL26" s="123"/>
      <c r="AM26" s="123"/>
      <c r="AN26" s="123"/>
      <c r="AO26" s="123"/>
      <c r="AP26" s="123"/>
      <c r="AQ26" s="123"/>
      <c r="AR26" s="123"/>
      <c r="AS26" s="123"/>
      <c r="AT26" s="123"/>
      <c r="AU26" s="22"/>
      <c r="AV26" s="22"/>
      <c r="AW26" s="22"/>
      <c r="AX26" s="22"/>
      <c r="AY26" s="22"/>
      <c r="AZ26" s="22"/>
      <c r="BA26" s="22"/>
      <c r="BB26" s="22"/>
      <c r="BC26" s="22"/>
      <c r="BD26" s="22"/>
      <c r="BE26" s="22"/>
      <c r="BF26" s="22"/>
      <c r="BG26" s="22"/>
      <c r="BH26" s="22"/>
      <c r="BI26" s="22"/>
      <c r="BJ26" s="22"/>
      <c r="BK26" s="22"/>
      <c r="BL26" s="22"/>
      <c r="BM26" s="22"/>
      <c r="BN26" s="22"/>
      <c r="BO26" s="22"/>
      <c r="BP26" s="22"/>
      <c r="BQ26" s="22"/>
      <c r="BR26" s="22"/>
      <c r="BS26" s="22"/>
      <c r="BT26" s="22"/>
      <c r="BU26" s="22"/>
      <c r="BV26" s="22"/>
      <c r="BW26" s="22"/>
      <c r="BX26" s="22"/>
      <c r="BY26" s="22"/>
      <c r="BZ26" s="22"/>
      <c r="CA26" s="22"/>
      <c r="CB26" s="22"/>
      <c r="CC26" s="22"/>
    </row>
    <row r="27" spans="2:81" s="26" customFormat="1" ht="15" customHeight="1">
      <c r="B27" s="34"/>
      <c r="C27" s="173">
        <v>3.5</v>
      </c>
      <c r="D27" s="242" t="str">
        <f t="shared" si="2"/>
        <v>ACI</v>
      </c>
      <c r="E27" s="243" t="s">
        <v>91</v>
      </c>
      <c r="F27" s="247" t="s">
        <v>85</v>
      </c>
      <c r="G27" s="265"/>
      <c r="H27" s="174">
        <v>3.5</v>
      </c>
      <c r="I27" s="242" t="str">
        <f t="shared" si="0"/>
        <v>CD</v>
      </c>
      <c r="J27" s="247" t="s">
        <v>119</v>
      </c>
      <c r="K27" s="264" t="s">
        <v>238</v>
      </c>
      <c r="L27" s="265" t="s">
        <v>236</v>
      </c>
      <c r="M27" s="174">
        <v>3.5</v>
      </c>
      <c r="N27" s="242" t="str">
        <f t="shared" si="1"/>
        <v>CM</v>
      </c>
      <c r="O27" s="247" t="s">
        <v>32</v>
      </c>
      <c r="P27" s="247" t="s">
        <v>245</v>
      </c>
      <c r="Q27" s="248" t="s">
        <v>236</v>
      </c>
      <c r="R27" s="175">
        <v>3.5</v>
      </c>
      <c r="S27" s="242" t="str">
        <f t="shared" si="3"/>
        <v>AF</v>
      </c>
      <c r="T27" s="247" t="s">
        <v>96</v>
      </c>
      <c r="U27" s="247" t="s">
        <v>85</v>
      </c>
      <c r="V27" s="248"/>
      <c r="W27" s="28"/>
      <c r="X27" s="123"/>
      <c r="Y27" s="123"/>
      <c r="Z27" s="123"/>
      <c r="AA27" s="123"/>
      <c r="AB27" s="123"/>
      <c r="AC27" s="123"/>
      <c r="AD27" s="192" t="s">
        <v>131</v>
      </c>
      <c r="AE27" s="201"/>
      <c r="AF27" s="201"/>
      <c r="AG27" s="123"/>
      <c r="AH27" s="123"/>
      <c r="AI27" s="123"/>
      <c r="AJ27" s="123"/>
      <c r="AK27" s="123"/>
      <c r="AL27" s="123"/>
      <c r="AM27" s="123"/>
      <c r="AN27" s="123"/>
      <c r="AO27" s="123"/>
      <c r="AP27" s="123"/>
      <c r="AQ27" s="123"/>
      <c r="AR27" s="123"/>
      <c r="AS27" s="123"/>
      <c r="AT27" s="123"/>
      <c r="AU27" s="22"/>
      <c r="AV27" s="22"/>
      <c r="AW27" s="22"/>
      <c r="AX27" s="22"/>
      <c r="AY27" s="22"/>
      <c r="AZ27" s="22"/>
      <c r="BA27" s="22"/>
      <c r="BB27" s="22"/>
      <c r="BC27" s="22"/>
      <c r="BD27" s="22"/>
      <c r="BE27" s="22"/>
      <c r="BF27" s="22"/>
      <c r="BG27" s="22"/>
      <c r="BH27" s="22"/>
      <c r="BI27" s="22"/>
      <c r="BJ27" s="22"/>
      <c r="BK27" s="22"/>
      <c r="BL27" s="22"/>
      <c r="BM27" s="22"/>
      <c r="BN27" s="22"/>
      <c r="BO27" s="22"/>
      <c r="BP27" s="22"/>
      <c r="BQ27" s="22"/>
      <c r="BR27" s="22"/>
      <c r="BS27" s="22"/>
      <c r="BT27" s="22"/>
      <c r="BU27" s="22"/>
      <c r="BV27" s="22"/>
      <c r="BW27" s="22"/>
      <c r="BX27" s="22"/>
      <c r="BY27" s="22"/>
      <c r="BZ27" s="22"/>
      <c r="CA27" s="22"/>
      <c r="CB27" s="22"/>
      <c r="CC27" s="22"/>
    </row>
    <row r="28" spans="2:81" s="26" customFormat="1" ht="13">
      <c r="B28" s="34"/>
      <c r="C28" s="173">
        <v>4</v>
      </c>
      <c r="D28" s="242" t="str">
        <f t="shared" si="2"/>
        <v>RC</v>
      </c>
      <c r="E28" s="243" t="s">
        <v>141</v>
      </c>
      <c r="F28" s="247"/>
      <c r="G28" s="248"/>
      <c r="H28" s="174">
        <v>4</v>
      </c>
      <c r="I28" s="242" t="str">
        <f t="shared" si="0"/>
        <v>RC</v>
      </c>
      <c r="J28" s="247" t="s">
        <v>141</v>
      </c>
      <c r="K28" s="247"/>
      <c r="L28" s="248"/>
      <c r="M28" s="174">
        <v>4</v>
      </c>
      <c r="N28" s="242" t="str">
        <f t="shared" si="1"/>
        <v>CM</v>
      </c>
      <c r="O28" s="247" t="s">
        <v>32</v>
      </c>
      <c r="P28" s="264" t="s">
        <v>245</v>
      </c>
      <c r="Q28" s="265" t="s">
        <v>236</v>
      </c>
      <c r="R28" s="175">
        <v>4</v>
      </c>
      <c r="S28" s="242" t="str">
        <f t="shared" si="3"/>
        <v>RC</v>
      </c>
      <c r="T28" s="247" t="s">
        <v>141</v>
      </c>
      <c r="U28" s="264"/>
      <c r="V28" s="248"/>
      <c r="W28" s="28"/>
      <c r="X28" s="123"/>
      <c r="Y28" s="123"/>
      <c r="Z28" s="123"/>
      <c r="AA28" s="123"/>
      <c r="AB28" s="123"/>
      <c r="AC28" s="123"/>
      <c r="AD28" s="192" t="s">
        <v>136</v>
      </c>
      <c r="AE28" s="201"/>
      <c r="AF28" s="201"/>
      <c r="AG28" s="123"/>
      <c r="AH28" s="123"/>
      <c r="AI28" s="123"/>
      <c r="AJ28" s="123"/>
      <c r="AK28" s="123"/>
      <c r="AL28" s="123"/>
      <c r="AM28" s="123"/>
      <c r="AN28" s="123"/>
      <c r="AO28" s="123"/>
      <c r="AP28" s="123"/>
      <c r="AQ28" s="123"/>
      <c r="AR28" s="123"/>
      <c r="AS28" s="123"/>
      <c r="AT28" s="123"/>
      <c r="AU28" s="22"/>
      <c r="AV28" s="22"/>
      <c r="AW28" s="22"/>
      <c r="AX28" s="22"/>
      <c r="AY28" s="22"/>
      <c r="AZ28" s="22"/>
      <c r="BA28" s="22"/>
      <c r="BB28" s="22"/>
      <c r="BC28" s="22"/>
      <c r="BD28" s="22"/>
      <c r="BE28" s="22"/>
      <c r="BF28" s="22"/>
      <c r="BG28" s="22"/>
      <c r="BH28" s="22"/>
      <c r="BI28" s="22"/>
      <c r="BJ28" s="22"/>
      <c r="BK28" s="22"/>
      <c r="BL28" s="22"/>
      <c r="BM28" s="22"/>
      <c r="BN28" s="22"/>
      <c r="BO28" s="22"/>
      <c r="BP28" s="22"/>
      <c r="BQ28" s="22"/>
      <c r="BR28" s="22"/>
      <c r="BS28" s="22"/>
      <c r="BT28" s="22"/>
      <c r="BU28" s="22"/>
      <c r="BV28" s="22"/>
      <c r="BW28" s="22"/>
      <c r="BX28" s="22"/>
      <c r="BY28" s="22"/>
      <c r="BZ28" s="22"/>
      <c r="CA28" s="22"/>
      <c r="CB28" s="22"/>
      <c r="CC28" s="22"/>
    </row>
    <row r="29" spans="2:81" s="26" customFormat="1" ht="13">
      <c r="B29" s="34"/>
      <c r="C29" s="173">
        <v>4.5</v>
      </c>
      <c r="D29" s="242" t="str">
        <f t="shared" si="2"/>
        <v>ACI</v>
      </c>
      <c r="E29" s="243" t="s">
        <v>91</v>
      </c>
      <c r="F29" s="247" t="s">
        <v>85</v>
      </c>
      <c r="G29" s="265"/>
      <c r="H29" s="174">
        <v>4.5</v>
      </c>
      <c r="I29" s="242" t="str">
        <f t="shared" si="0"/>
        <v>CD</v>
      </c>
      <c r="J29" s="247" t="s">
        <v>119</v>
      </c>
      <c r="K29" s="247" t="s">
        <v>237</v>
      </c>
      <c r="L29" s="248" t="s">
        <v>236</v>
      </c>
      <c r="M29" s="174">
        <v>4.5</v>
      </c>
      <c r="N29" s="242" t="str">
        <f t="shared" si="1"/>
        <v>CD</v>
      </c>
      <c r="O29" s="247" t="s">
        <v>119</v>
      </c>
      <c r="P29" s="247" t="s">
        <v>240</v>
      </c>
      <c r="Q29" s="248" t="s">
        <v>236</v>
      </c>
      <c r="R29" s="175">
        <v>4.5</v>
      </c>
      <c r="S29" s="242" t="str">
        <f t="shared" si="3"/>
        <v>RC</v>
      </c>
      <c r="T29" s="247" t="s">
        <v>141</v>
      </c>
      <c r="U29" s="247"/>
      <c r="V29" s="248"/>
      <c r="W29" s="28"/>
      <c r="X29" s="123"/>
      <c r="Y29" s="123"/>
      <c r="Z29" s="123"/>
      <c r="AA29" s="123"/>
      <c r="AB29" s="123"/>
      <c r="AC29" s="123"/>
      <c r="AD29" s="191" t="s">
        <v>144</v>
      </c>
      <c r="AE29" s="232"/>
      <c r="AF29" s="201"/>
      <c r="AG29" s="123"/>
      <c r="AH29" s="123"/>
      <c r="AI29" s="123"/>
      <c r="AJ29" s="123"/>
      <c r="AK29" s="123"/>
      <c r="AL29" s="123"/>
      <c r="AM29" s="123"/>
      <c r="AN29" s="123"/>
      <c r="AO29" s="123"/>
      <c r="AP29" s="123"/>
      <c r="AQ29" s="123"/>
      <c r="AR29" s="123"/>
      <c r="AS29" s="123"/>
      <c r="AT29" s="123"/>
      <c r="AU29" s="22"/>
      <c r="AV29" s="22"/>
      <c r="AW29" s="22"/>
      <c r="AX29" s="22"/>
      <c r="AY29" s="22"/>
      <c r="AZ29" s="22"/>
      <c r="BA29" s="22"/>
      <c r="BB29" s="22"/>
      <c r="BC29" s="22"/>
      <c r="BD29" s="22"/>
      <c r="BE29" s="22"/>
      <c r="BF29" s="22"/>
      <c r="BG29" s="22"/>
      <c r="BH29" s="22"/>
      <c r="BI29" s="22"/>
      <c r="BJ29" s="22"/>
      <c r="BK29" s="22"/>
      <c r="BL29" s="22"/>
      <c r="BM29" s="22"/>
      <c r="BN29" s="22"/>
      <c r="BO29" s="22"/>
      <c r="BP29" s="22"/>
      <c r="BQ29" s="22"/>
      <c r="BR29" s="22"/>
      <c r="BS29" s="22"/>
      <c r="BT29" s="22"/>
      <c r="BU29" s="22"/>
      <c r="BV29" s="22"/>
      <c r="BW29" s="22"/>
      <c r="BX29" s="22"/>
      <c r="BY29" s="22"/>
      <c r="BZ29" s="22"/>
      <c r="CA29" s="22"/>
      <c r="CB29" s="22"/>
      <c r="CC29" s="22"/>
    </row>
    <row r="30" spans="2:81" s="26" customFormat="1" ht="13">
      <c r="B30" s="34"/>
      <c r="C30" s="173">
        <v>5</v>
      </c>
      <c r="D30" s="242" t="str">
        <f t="shared" si="2"/>
        <v>RC</v>
      </c>
      <c r="E30" s="243" t="s">
        <v>141</v>
      </c>
      <c r="F30" s="247"/>
      <c r="G30" s="248"/>
      <c r="H30" s="174">
        <v>5</v>
      </c>
      <c r="I30" s="242" t="str">
        <f t="shared" si="0"/>
        <v>RC</v>
      </c>
      <c r="J30" s="247" t="s">
        <v>141</v>
      </c>
      <c r="K30" s="264"/>
      <c r="L30" s="265"/>
      <c r="M30" s="174">
        <v>5</v>
      </c>
      <c r="N30" s="242" t="str">
        <f t="shared" si="1"/>
        <v>CD</v>
      </c>
      <c r="O30" s="247" t="s">
        <v>119</v>
      </c>
      <c r="P30" s="247" t="s">
        <v>246</v>
      </c>
      <c r="Q30" s="248" t="s">
        <v>236</v>
      </c>
      <c r="R30" s="175">
        <v>5</v>
      </c>
      <c r="S30" s="242" t="str">
        <f t="shared" si="3"/>
        <v>CD</v>
      </c>
      <c r="T30" s="247" t="s">
        <v>119</v>
      </c>
      <c r="U30" s="247" t="s">
        <v>249</v>
      </c>
      <c r="V30" s="248" t="s">
        <v>236</v>
      </c>
      <c r="W30" s="28"/>
      <c r="X30" s="123"/>
      <c r="Y30" s="123"/>
      <c r="Z30" s="123"/>
      <c r="AA30" s="123"/>
      <c r="AB30" s="123"/>
      <c r="AC30" s="123"/>
      <c r="AD30" s="194" t="s">
        <v>180</v>
      </c>
      <c r="AE30" s="232"/>
      <c r="AF30" s="201"/>
      <c r="AG30" s="123"/>
      <c r="AH30" s="123"/>
      <c r="AI30" s="123"/>
      <c r="AJ30" s="123"/>
      <c r="AK30" s="123"/>
      <c r="AL30" s="123"/>
      <c r="AM30" s="123"/>
      <c r="AN30" s="123"/>
      <c r="AO30" s="123"/>
      <c r="AP30" s="123"/>
      <c r="AQ30" s="123"/>
      <c r="AR30" s="123"/>
      <c r="AS30" s="123"/>
      <c r="AT30" s="123"/>
      <c r="AU30" s="22"/>
      <c r="AV30" s="22"/>
      <c r="AW30" s="22"/>
      <c r="AX30" s="22"/>
      <c r="AY30" s="22"/>
      <c r="AZ30" s="22"/>
      <c r="BA30" s="22"/>
      <c r="BB30" s="22"/>
      <c r="BC30" s="22"/>
      <c r="BD30" s="22"/>
      <c r="BE30" s="22"/>
      <c r="BF30" s="22"/>
      <c r="BG30" s="22"/>
      <c r="BH30" s="22"/>
      <c r="BI30" s="22"/>
      <c r="BJ30" s="22"/>
      <c r="BK30" s="22"/>
      <c r="BL30" s="22"/>
      <c r="BM30" s="22"/>
      <c r="BN30" s="22"/>
      <c r="BO30" s="22"/>
      <c r="BP30" s="22"/>
      <c r="BQ30" s="22"/>
      <c r="BR30" s="22"/>
      <c r="BS30" s="22"/>
      <c r="BT30" s="22"/>
      <c r="BU30" s="22"/>
      <c r="BV30" s="22"/>
      <c r="BW30" s="22"/>
      <c r="BX30" s="22"/>
      <c r="BY30" s="22"/>
      <c r="BZ30" s="22"/>
      <c r="CA30" s="22"/>
      <c r="CB30" s="22"/>
      <c r="CC30" s="22"/>
    </row>
    <row r="31" spans="2:81" s="26" customFormat="1" ht="13">
      <c r="B31" s="34"/>
      <c r="C31" s="173">
        <v>5.5</v>
      </c>
      <c r="D31" s="242" t="str">
        <f t="shared" si="2"/>
        <v>RC</v>
      </c>
      <c r="E31" s="243" t="s">
        <v>141</v>
      </c>
      <c r="F31" s="247"/>
      <c r="G31" s="265"/>
      <c r="H31" s="174">
        <v>5.5</v>
      </c>
      <c r="I31" s="242" t="str">
        <f t="shared" si="0"/>
        <v>AF</v>
      </c>
      <c r="J31" s="247" t="s">
        <v>96</v>
      </c>
      <c r="K31" s="264" t="s">
        <v>85</v>
      </c>
      <c r="L31" s="265"/>
      <c r="M31" s="174">
        <v>5.5</v>
      </c>
      <c r="N31" s="242" t="str">
        <f t="shared" si="1"/>
        <v>CM</v>
      </c>
      <c r="O31" s="247" t="s">
        <v>32</v>
      </c>
      <c r="P31" s="264" t="s">
        <v>245</v>
      </c>
      <c r="Q31" s="265" t="s">
        <v>236</v>
      </c>
      <c r="R31" s="175">
        <v>5.5</v>
      </c>
      <c r="S31" s="242" t="str">
        <f t="shared" si="3"/>
        <v>CD</v>
      </c>
      <c r="T31" s="247" t="s">
        <v>119</v>
      </c>
      <c r="U31" s="264" t="s">
        <v>249</v>
      </c>
      <c r="V31" s="248" t="s">
        <v>236</v>
      </c>
      <c r="W31" s="28"/>
      <c r="X31" s="123"/>
      <c r="Y31" s="123"/>
      <c r="Z31" s="123"/>
      <c r="AA31" s="123"/>
      <c r="AB31" s="123"/>
      <c r="AC31" s="123"/>
      <c r="AD31" s="252" t="s">
        <v>205</v>
      </c>
      <c r="AE31" s="232"/>
      <c r="AF31" s="201"/>
      <c r="AG31" s="123"/>
      <c r="AH31" s="123"/>
      <c r="AI31" s="123"/>
      <c r="AJ31" s="123"/>
      <c r="AK31" s="123"/>
      <c r="AL31" s="123"/>
      <c r="AM31" s="123"/>
      <c r="AN31" s="123"/>
      <c r="AO31" s="123"/>
      <c r="AP31" s="123"/>
      <c r="AQ31" s="123"/>
      <c r="AR31" s="123"/>
      <c r="AS31" s="123"/>
      <c r="AT31" s="123"/>
      <c r="AU31" s="22"/>
      <c r="AV31" s="22"/>
      <c r="AW31" s="22"/>
      <c r="AX31" s="22"/>
      <c r="AY31" s="22"/>
      <c r="AZ31" s="22"/>
      <c r="BA31" s="22"/>
      <c r="BB31" s="22"/>
      <c r="BC31" s="22"/>
      <c r="BD31" s="22"/>
      <c r="BE31" s="22"/>
      <c r="BF31" s="22"/>
      <c r="BG31" s="22"/>
      <c r="BH31" s="22"/>
      <c r="BI31" s="22"/>
      <c r="BJ31" s="22"/>
      <c r="BK31" s="22"/>
      <c r="BL31" s="22"/>
      <c r="BM31" s="22"/>
      <c r="BN31" s="22"/>
      <c r="BO31" s="22"/>
      <c r="BP31" s="22"/>
      <c r="BQ31" s="22"/>
      <c r="BR31" s="22"/>
      <c r="BS31" s="22"/>
      <c r="BT31" s="22"/>
      <c r="BU31" s="22"/>
      <c r="BV31" s="22"/>
      <c r="BW31" s="22"/>
      <c r="BX31" s="22"/>
      <c r="BY31" s="22"/>
      <c r="BZ31" s="22"/>
      <c r="CA31" s="22"/>
      <c r="CB31" s="22"/>
      <c r="CC31" s="22"/>
    </row>
    <row r="32" spans="2:81" s="26" customFormat="1" ht="13">
      <c r="B32" s="34"/>
      <c r="C32" s="173">
        <v>6</v>
      </c>
      <c r="D32" s="242" t="str">
        <f t="shared" si="2"/>
        <v>RC</v>
      </c>
      <c r="E32" s="243" t="s">
        <v>141</v>
      </c>
      <c r="F32" s="247"/>
      <c r="G32" s="248"/>
      <c r="H32" s="174">
        <v>6</v>
      </c>
      <c r="I32" s="242" t="str">
        <f t="shared" si="0"/>
        <v>CD</v>
      </c>
      <c r="J32" s="247" t="s">
        <v>119</v>
      </c>
      <c r="K32" s="264" t="s">
        <v>237</v>
      </c>
      <c r="L32" s="265" t="s">
        <v>236</v>
      </c>
      <c r="M32" s="174">
        <v>6</v>
      </c>
      <c r="N32" s="242" t="str">
        <f t="shared" si="1"/>
        <v>RC</v>
      </c>
      <c r="O32" s="247" t="s">
        <v>141</v>
      </c>
      <c r="P32" s="247"/>
      <c r="Q32" s="248"/>
      <c r="R32" s="175">
        <v>6</v>
      </c>
      <c r="S32" s="242" t="str">
        <f t="shared" si="3"/>
        <v>CD</v>
      </c>
      <c r="T32" s="247" t="s">
        <v>119</v>
      </c>
      <c r="U32" s="264" t="s">
        <v>249</v>
      </c>
      <c r="V32" s="248" t="s">
        <v>236</v>
      </c>
      <c r="W32" s="28"/>
      <c r="X32" s="123"/>
      <c r="Y32" s="123"/>
      <c r="Z32" s="123"/>
      <c r="AA32" s="123"/>
      <c r="AB32" s="123"/>
      <c r="AC32" s="123"/>
      <c r="AD32" s="194" t="s">
        <v>181</v>
      </c>
      <c r="AE32" s="233"/>
      <c r="AF32" s="201"/>
      <c r="AG32" s="123"/>
      <c r="AH32" s="123"/>
      <c r="AI32" s="123"/>
      <c r="AJ32" s="123"/>
      <c r="AK32" s="123"/>
      <c r="AL32" s="123"/>
      <c r="AM32" s="123"/>
      <c r="AN32" s="123"/>
      <c r="AO32" s="123"/>
      <c r="AP32" s="123"/>
      <c r="AQ32" s="123"/>
      <c r="AR32" s="123"/>
      <c r="AS32" s="123"/>
      <c r="AT32" s="123"/>
      <c r="AU32" s="22"/>
      <c r="AV32" s="22"/>
      <c r="AW32" s="22"/>
      <c r="AX32" s="22"/>
      <c r="AY32" s="22"/>
      <c r="AZ32" s="22"/>
      <c r="BA32" s="22"/>
      <c r="BB32" s="22"/>
      <c r="BC32" s="22"/>
      <c r="BD32" s="22"/>
      <c r="BE32" s="22"/>
      <c r="BF32" s="22"/>
      <c r="BG32" s="22"/>
      <c r="BH32" s="22"/>
      <c r="BI32" s="22"/>
      <c r="BJ32" s="22"/>
      <c r="BK32" s="22"/>
      <c r="BL32" s="22"/>
      <c r="BM32" s="22"/>
      <c r="BN32" s="22"/>
      <c r="BO32" s="22"/>
      <c r="BP32" s="22"/>
      <c r="BQ32" s="22"/>
      <c r="BR32" s="22"/>
      <c r="BS32" s="22"/>
      <c r="BT32" s="22"/>
      <c r="BU32" s="22"/>
      <c r="BV32" s="22"/>
      <c r="BW32" s="22"/>
      <c r="BX32" s="22"/>
      <c r="BY32" s="22"/>
      <c r="BZ32" s="22"/>
      <c r="CA32" s="22"/>
      <c r="CB32" s="22"/>
      <c r="CC32" s="22"/>
    </row>
    <row r="33" spans="2:81" s="26" customFormat="1" ht="13">
      <c r="B33" s="34"/>
      <c r="C33" s="173">
        <v>6.5</v>
      </c>
      <c r="D33" s="242" t="str">
        <f t="shared" si="2"/>
        <v>RC</v>
      </c>
      <c r="E33" s="243" t="s">
        <v>141</v>
      </c>
      <c r="F33" s="247"/>
      <c r="G33" s="265"/>
      <c r="H33" s="174">
        <v>6.5</v>
      </c>
      <c r="I33" s="242" t="str">
        <f t="shared" si="0"/>
        <v>CM</v>
      </c>
      <c r="J33" s="247" t="s">
        <v>32</v>
      </c>
      <c r="K33" s="264" t="s">
        <v>245</v>
      </c>
      <c r="L33" s="265" t="s">
        <v>236</v>
      </c>
      <c r="M33" s="174">
        <v>6.5</v>
      </c>
      <c r="N33" s="242" t="str">
        <f t="shared" si="1"/>
        <v>CD</v>
      </c>
      <c r="O33" s="247" t="s">
        <v>119</v>
      </c>
      <c r="P33" s="264" t="s">
        <v>251</v>
      </c>
      <c r="Q33" s="265" t="s">
        <v>236</v>
      </c>
      <c r="R33" s="175">
        <v>6.5</v>
      </c>
      <c r="S33" s="242" t="str">
        <f t="shared" si="3"/>
        <v>RC</v>
      </c>
      <c r="T33" s="247" t="s">
        <v>141</v>
      </c>
      <c r="U33" s="264"/>
      <c r="V33" s="248"/>
      <c r="W33" s="28"/>
      <c r="X33" s="123"/>
      <c r="Y33" s="123"/>
      <c r="Z33" s="123"/>
      <c r="AA33" s="123"/>
      <c r="AB33" s="123"/>
      <c r="AC33" s="123"/>
      <c r="AD33" s="255" t="s">
        <v>182</v>
      </c>
      <c r="AE33" s="233"/>
      <c r="AF33" s="201"/>
      <c r="AG33" s="123"/>
      <c r="AH33" s="123"/>
      <c r="AI33" s="123"/>
      <c r="AJ33" s="123"/>
      <c r="AK33" s="123"/>
      <c r="AL33" s="123"/>
      <c r="AM33" s="123"/>
      <c r="AN33" s="123"/>
      <c r="AO33" s="123"/>
      <c r="AP33" s="123"/>
      <c r="AQ33" s="123"/>
      <c r="AR33" s="123"/>
      <c r="AS33" s="123"/>
      <c r="AT33" s="123"/>
      <c r="AU33" s="22"/>
      <c r="AV33" s="22"/>
      <c r="AW33" s="22"/>
      <c r="AX33" s="22"/>
      <c r="AY33" s="22"/>
      <c r="AZ33" s="22"/>
      <c r="BA33" s="22"/>
      <c r="BB33" s="22"/>
      <c r="BC33" s="22"/>
      <c r="BD33" s="22"/>
      <c r="BE33" s="22"/>
      <c r="BF33" s="22"/>
      <c r="BG33" s="22"/>
      <c r="BH33" s="22"/>
      <c r="BI33" s="22"/>
      <c r="BJ33" s="22"/>
      <c r="BK33" s="22"/>
      <c r="BL33" s="22"/>
      <c r="BM33" s="22"/>
      <c r="BN33" s="22"/>
      <c r="BO33" s="22"/>
      <c r="BP33" s="22"/>
      <c r="BQ33" s="22"/>
      <c r="BR33" s="22"/>
      <c r="BS33" s="22"/>
      <c r="BT33" s="22"/>
      <c r="BU33" s="22"/>
      <c r="BV33" s="22"/>
      <c r="BW33" s="22"/>
      <c r="BX33" s="22"/>
      <c r="BY33" s="22"/>
      <c r="BZ33" s="22"/>
      <c r="CA33" s="22"/>
      <c r="CB33" s="22"/>
      <c r="CC33" s="22"/>
    </row>
    <row r="34" spans="2:81" s="26" customFormat="1" ht="13">
      <c r="B34" s="34"/>
      <c r="C34" s="173">
        <v>7</v>
      </c>
      <c r="D34" s="242" t="str">
        <f t="shared" si="2"/>
        <v>CM</v>
      </c>
      <c r="E34" s="243" t="s">
        <v>32</v>
      </c>
      <c r="F34" s="247" t="s">
        <v>245</v>
      </c>
      <c r="G34" s="265" t="s">
        <v>236</v>
      </c>
      <c r="H34" s="174">
        <v>7</v>
      </c>
      <c r="I34" s="242" t="str">
        <f t="shared" si="0"/>
        <v>CM</v>
      </c>
      <c r="J34" s="247" t="s">
        <v>32</v>
      </c>
      <c r="K34" s="264" t="s">
        <v>245</v>
      </c>
      <c r="L34" s="265" t="s">
        <v>236</v>
      </c>
      <c r="M34" s="174">
        <v>7</v>
      </c>
      <c r="N34" s="242" t="str">
        <f t="shared" si="1"/>
        <v>CD</v>
      </c>
      <c r="O34" s="247" t="s">
        <v>119</v>
      </c>
      <c r="P34" s="264" t="s">
        <v>250</v>
      </c>
      <c r="Q34" s="265" t="s">
        <v>236</v>
      </c>
      <c r="R34" s="175">
        <v>7</v>
      </c>
      <c r="S34" s="242" t="str">
        <f t="shared" si="3"/>
        <v>CD</v>
      </c>
      <c r="T34" s="247" t="s">
        <v>119</v>
      </c>
      <c r="U34" s="247" t="s">
        <v>246</v>
      </c>
      <c r="V34" s="248" t="s">
        <v>236</v>
      </c>
      <c r="W34" s="28"/>
      <c r="X34" s="123"/>
      <c r="Y34" s="123"/>
      <c r="Z34" s="123"/>
      <c r="AA34" s="123"/>
      <c r="AB34" s="123"/>
      <c r="AC34" s="123"/>
      <c r="AD34" s="192" t="s">
        <v>140</v>
      </c>
      <c r="AE34" s="233"/>
      <c r="AF34" s="201"/>
      <c r="AG34" s="123"/>
      <c r="AH34" s="123"/>
      <c r="AI34" s="123"/>
      <c r="AJ34" s="123"/>
      <c r="AK34" s="123"/>
      <c r="AL34" s="123"/>
      <c r="AM34" s="123"/>
      <c r="AN34" s="123"/>
      <c r="AO34" s="123"/>
      <c r="AP34" s="123"/>
      <c r="AQ34" s="123"/>
      <c r="AR34" s="123"/>
      <c r="AS34" s="123"/>
      <c r="AT34" s="123"/>
      <c r="AU34" s="22"/>
      <c r="AV34" s="22"/>
      <c r="AW34" s="22"/>
      <c r="AX34" s="22"/>
      <c r="AY34" s="22"/>
      <c r="AZ34" s="22"/>
      <c r="BA34" s="22"/>
      <c r="BB34" s="22"/>
      <c r="BC34" s="22"/>
      <c r="BD34" s="22"/>
      <c r="BE34" s="22"/>
      <c r="BF34" s="22"/>
      <c r="BG34" s="22"/>
      <c r="BH34" s="22"/>
      <c r="BI34" s="22"/>
      <c r="BJ34" s="22"/>
      <c r="BK34" s="22"/>
      <c r="BL34" s="22"/>
      <c r="BM34" s="22"/>
      <c r="BN34" s="22"/>
      <c r="BO34" s="22"/>
      <c r="BP34" s="22"/>
      <c r="BQ34" s="22"/>
      <c r="BR34" s="22"/>
      <c r="BS34" s="22"/>
      <c r="BT34" s="22"/>
      <c r="BU34" s="22"/>
      <c r="BV34" s="22"/>
      <c r="BW34" s="22"/>
      <c r="BX34" s="22"/>
      <c r="BY34" s="22"/>
      <c r="BZ34" s="22"/>
      <c r="CA34" s="22"/>
      <c r="CB34" s="22"/>
      <c r="CC34" s="22"/>
    </row>
    <row r="35" spans="2:81" s="26" customFormat="1" ht="13">
      <c r="B35" s="34"/>
      <c r="C35" s="173">
        <v>7.5</v>
      </c>
      <c r="D35" s="242" t="str">
        <f t="shared" si="2"/>
        <v>CD</v>
      </c>
      <c r="E35" s="243" t="s">
        <v>119</v>
      </c>
      <c r="F35" s="247" t="s">
        <v>241</v>
      </c>
      <c r="G35" s="265" t="s">
        <v>236</v>
      </c>
      <c r="H35" s="174">
        <v>7.5</v>
      </c>
      <c r="I35" s="242" t="str">
        <f t="shared" si="0"/>
        <v>CM</v>
      </c>
      <c r="J35" s="247" t="s">
        <v>32</v>
      </c>
      <c r="K35" s="264" t="s">
        <v>245</v>
      </c>
      <c r="L35" s="265" t="s">
        <v>236</v>
      </c>
      <c r="M35" s="174">
        <v>7.5</v>
      </c>
      <c r="N35" s="242" t="str">
        <f t="shared" si="1"/>
        <v>CD</v>
      </c>
      <c r="O35" s="247" t="s">
        <v>119</v>
      </c>
      <c r="P35" s="264" t="s">
        <v>246</v>
      </c>
      <c r="Q35" s="265" t="s">
        <v>236</v>
      </c>
      <c r="R35" s="175">
        <v>7.5</v>
      </c>
      <c r="S35" s="242" t="str">
        <f t="shared" si="3"/>
        <v>RC</v>
      </c>
      <c r="T35" s="247" t="s">
        <v>141</v>
      </c>
      <c r="U35" s="264"/>
      <c r="V35" s="248"/>
      <c r="W35" s="28"/>
      <c r="X35" s="123"/>
      <c r="Y35" s="123"/>
      <c r="Z35" s="123"/>
      <c r="AA35" s="123"/>
      <c r="AB35" s="123"/>
      <c r="AC35" s="123"/>
      <c r="AD35" s="192" t="s">
        <v>143</v>
      </c>
      <c r="AE35" s="234"/>
      <c r="AF35" s="201"/>
      <c r="AG35" s="123"/>
      <c r="AH35" s="123"/>
      <c r="AI35" s="123"/>
      <c r="AJ35" s="123"/>
      <c r="AK35" s="123"/>
      <c r="AL35" s="123"/>
      <c r="AM35" s="123"/>
      <c r="AN35" s="123"/>
      <c r="AO35" s="123"/>
      <c r="AP35" s="123"/>
      <c r="AQ35" s="123"/>
      <c r="AR35" s="123"/>
      <c r="AS35" s="123"/>
      <c r="AT35" s="123"/>
      <c r="AU35" s="22"/>
      <c r="AV35" s="22"/>
      <c r="AW35" s="22"/>
      <c r="AX35" s="22"/>
      <c r="AY35" s="22"/>
      <c r="AZ35" s="22"/>
      <c r="BA35" s="22"/>
      <c r="BB35" s="22"/>
      <c r="BC35" s="22"/>
      <c r="BD35" s="22"/>
      <c r="BE35" s="22"/>
      <c r="BF35" s="22"/>
      <c r="BG35" s="22"/>
      <c r="BH35" s="22"/>
      <c r="BI35" s="22"/>
      <c r="BJ35" s="22"/>
      <c r="BK35" s="22"/>
      <c r="BL35" s="22"/>
      <c r="BM35" s="22"/>
      <c r="BN35" s="22"/>
      <c r="BO35" s="22"/>
      <c r="BP35" s="22"/>
      <c r="BQ35" s="22"/>
      <c r="BR35" s="22"/>
      <c r="BS35" s="22"/>
      <c r="BT35" s="22"/>
      <c r="BU35" s="22"/>
      <c r="BV35" s="22"/>
      <c r="BW35" s="22"/>
      <c r="BX35" s="22"/>
      <c r="BY35" s="22"/>
      <c r="BZ35" s="22"/>
      <c r="CA35" s="22"/>
      <c r="CB35" s="22"/>
      <c r="CC35" s="22"/>
    </row>
    <row r="36" spans="2:81" s="26" customFormat="1" ht="13">
      <c r="B36" s="34"/>
      <c r="C36" s="173">
        <v>8</v>
      </c>
      <c r="D36" s="242" t="str">
        <f t="shared" si="2"/>
        <v>CD</v>
      </c>
      <c r="E36" s="243" t="s">
        <v>119</v>
      </c>
      <c r="F36" s="247" t="s">
        <v>237</v>
      </c>
      <c r="G36" s="265" t="s">
        <v>236</v>
      </c>
      <c r="H36" s="174">
        <v>8</v>
      </c>
      <c r="I36" s="242" t="str">
        <f t="shared" si="0"/>
        <v>CM</v>
      </c>
      <c r="J36" s="247" t="s">
        <v>32</v>
      </c>
      <c r="K36" s="264" t="s">
        <v>245</v>
      </c>
      <c r="L36" s="265" t="s">
        <v>236</v>
      </c>
      <c r="M36" s="174">
        <v>8</v>
      </c>
      <c r="N36" s="242" t="str">
        <f t="shared" si="1"/>
        <v>CD</v>
      </c>
      <c r="O36" s="247" t="s">
        <v>119</v>
      </c>
      <c r="P36" s="264" t="s">
        <v>237</v>
      </c>
      <c r="Q36" s="265" t="s">
        <v>236</v>
      </c>
      <c r="R36" s="175">
        <v>8</v>
      </c>
      <c r="S36" s="242" t="str">
        <f t="shared" si="3"/>
        <v>CD</v>
      </c>
      <c r="T36" s="247" t="s">
        <v>119</v>
      </c>
      <c r="U36" s="264" t="s">
        <v>249</v>
      </c>
      <c r="V36" s="248" t="s">
        <v>236</v>
      </c>
      <c r="W36" s="28"/>
      <c r="X36" s="123"/>
      <c r="Y36" s="123"/>
      <c r="Z36" s="123"/>
      <c r="AA36" s="123"/>
      <c r="AB36" s="123"/>
      <c r="AC36" s="123"/>
      <c r="AD36" s="192" t="s">
        <v>93</v>
      </c>
      <c r="AE36" s="234"/>
      <c r="AF36" s="201"/>
      <c r="AG36" s="123"/>
      <c r="AH36" s="123"/>
      <c r="AI36" s="123"/>
      <c r="AJ36" s="123"/>
      <c r="AK36" s="123"/>
      <c r="AL36" s="123"/>
      <c r="AM36" s="123"/>
      <c r="AN36" s="123"/>
      <c r="AO36" s="123"/>
      <c r="AP36" s="123"/>
      <c r="AQ36" s="123"/>
      <c r="AR36" s="123"/>
      <c r="AS36" s="123"/>
      <c r="AT36" s="123"/>
      <c r="AU36" s="22"/>
      <c r="AV36" s="22"/>
      <c r="AW36" s="22"/>
      <c r="AX36" s="22"/>
      <c r="AY36" s="22"/>
      <c r="AZ36" s="22"/>
      <c r="BA36" s="22"/>
      <c r="BB36" s="22"/>
      <c r="BC36" s="22"/>
      <c r="BD36" s="22"/>
      <c r="BE36" s="22"/>
      <c r="BF36" s="22"/>
      <c r="BG36" s="22"/>
      <c r="BH36" s="22"/>
      <c r="BI36" s="22"/>
      <c r="BJ36" s="22"/>
      <c r="BK36" s="22"/>
      <c r="BL36" s="22"/>
      <c r="BM36" s="22"/>
      <c r="BN36" s="22"/>
      <c r="BO36" s="22"/>
      <c r="BP36" s="22"/>
      <c r="BQ36" s="22"/>
      <c r="BR36" s="22"/>
      <c r="BS36" s="22"/>
      <c r="BT36" s="22"/>
      <c r="BU36" s="22"/>
      <c r="BV36" s="22"/>
      <c r="BW36" s="22"/>
      <c r="BX36" s="22"/>
      <c r="BY36" s="22"/>
      <c r="BZ36" s="22"/>
      <c r="CA36" s="22"/>
      <c r="CB36" s="22"/>
      <c r="CC36" s="22"/>
    </row>
    <row r="37" spans="2:81" s="26" customFormat="1" ht="13">
      <c r="B37" s="34"/>
      <c r="C37" s="173">
        <v>8.5</v>
      </c>
      <c r="D37" s="242" t="str">
        <f t="shared" si="2"/>
        <v>RC</v>
      </c>
      <c r="E37" s="243" t="s">
        <v>141</v>
      </c>
      <c r="F37" s="247"/>
      <c r="G37" s="265"/>
      <c r="H37" s="174">
        <v>8.5</v>
      </c>
      <c r="I37" s="242" t="str">
        <f t="shared" si="0"/>
        <v>CM</v>
      </c>
      <c r="J37" s="247" t="s">
        <v>32</v>
      </c>
      <c r="K37" s="247" t="s">
        <v>242</v>
      </c>
      <c r="L37" s="248" t="s">
        <v>236</v>
      </c>
      <c r="M37" s="174">
        <v>8.5</v>
      </c>
      <c r="N37" s="242" t="str">
        <f t="shared" si="1"/>
        <v>CD</v>
      </c>
      <c r="O37" s="247" t="s">
        <v>119</v>
      </c>
      <c r="P37" s="264" t="s">
        <v>246</v>
      </c>
      <c r="Q37" s="265" t="s">
        <v>236</v>
      </c>
      <c r="R37" s="175">
        <v>8.5</v>
      </c>
      <c r="S37" s="242" t="str">
        <f t="shared" si="3"/>
        <v>CD</v>
      </c>
      <c r="T37" s="247" t="s">
        <v>119</v>
      </c>
      <c r="U37" s="247" t="s">
        <v>251</v>
      </c>
      <c r="V37" s="248" t="s">
        <v>236</v>
      </c>
      <c r="W37" s="28"/>
      <c r="X37" s="123"/>
      <c r="Y37" s="123"/>
      <c r="Z37" s="123"/>
      <c r="AA37" s="123"/>
      <c r="AB37" s="123"/>
      <c r="AC37" s="123"/>
      <c r="AD37" s="192" t="s">
        <v>97</v>
      </c>
      <c r="AE37" s="234"/>
      <c r="AF37" s="201"/>
      <c r="AG37" s="123"/>
      <c r="AH37" s="123"/>
      <c r="AI37" s="123"/>
      <c r="AJ37" s="123"/>
      <c r="AK37" s="123"/>
      <c r="AL37" s="123"/>
      <c r="AM37" s="123"/>
      <c r="AN37" s="123"/>
      <c r="AO37" s="123"/>
      <c r="AP37" s="123"/>
      <c r="AQ37" s="123"/>
      <c r="AR37" s="123"/>
      <c r="AS37" s="123"/>
      <c r="AT37" s="123"/>
      <c r="AU37" s="22"/>
      <c r="AV37" s="22"/>
      <c r="AW37" s="22"/>
      <c r="AX37" s="22"/>
      <c r="AY37" s="22"/>
      <c r="AZ37" s="22"/>
      <c r="BA37" s="22"/>
      <c r="BB37" s="22"/>
      <c r="BC37" s="22"/>
      <c r="BD37" s="22"/>
      <c r="BE37" s="22"/>
      <c r="BF37" s="22"/>
      <c r="BG37" s="22"/>
      <c r="BH37" s="22"/>
      <c r="BI37" s="22"/>
      <c r="BJ37" s="22"/>
      <c r="BK37" s="22"/>
      <c r="BL37" s="22"/>
      <c r="BM37" s="22"/>
      <c r="BN37" s="22"/>
      <c r="BO37" s="22"/>
      <c r="BP37" s="22"/>
      <c r="BQ37" s="22"/>
      <c r="BR37" s="22"/>
      <c r="BS37" s="22"/>
      <c r="BT37" s="22"/>
      <c r="BU37" s="22"/>
      <c r="BV37" s="22"/>
      <c r="BW37" s="22"/>
      <c r="BX37" s="22"/>
      <c r="BY37" s="22"/>
      <c r="BZ37" s="22"/>
      <c r="CA37" s="22"/>
      <c r="CB37" s="22"/>
      <c r="CC37" s="22"/>
    </row>
    <row r="38" spans="2:81" s="26" customFormat="1" ht="13">
      <c r="B38" s="34"/>
      <c r="C38" s="173">
        <v>9</v>
      </c>
      <c r="D38" s="242" t="str">
        <f t="shared" si="2"/>
        <v>RC</v>
      </c>
      <c r="E38" s="243" t="s">
        <v>141</v>
      </c>
      <c r="F38" s="247"/>
      <c r="G38" s="265"/>
      <c r="H38" s="174">
        <v>9</v>
      </c>
      <c r="I38" s="242" t="str">
        <f t="shared" si="0"/>
        <v>CM</v>
      </c>
      <c r="J38" s="247" t="s">
        <v>32</v>
      </c>
      <c r="K38" s="247" t="s">
        <v>242</v>
      </c>
      <c r="L38" s="248" t="s">
        <v>236</v>
      </c>
      <c r="M38" s="174">
        <v>9</v>
      </c>
      <c r="N38" s="242" t="str">
        <f t="shared" si="1"/>
        <v>CD</v>
      </c>
      <c r="O38" s="247" t="s">
        <v>119</v>
      </c>
      <c r="P38" s="247" t="s">
        <v>246</v>
      </c>
      <c r="Q38" s="248" t="s">
        <v>236</v>
      </c>
      <c r="R38" s="175">
        <v>9</v>
      </c>
      <c r="S38" s="242" t="str">
        <f t="shared" si="3"/>
        <v>CM</v>
      </c>
      <c r="T38" s="247" t="s">
        <v>32</v>
      </c>
      <c r="U38" s="247" t="s">
        <v>245</v>
      </c>
      <c r="V38" s="248" t="s">
        <v>236</v>
      </c>
      <c r="W38" s="28"/>
      <c r="X38" s="123"/>
      <c r="Y38" s="123"/>
      <c r="Z38" s="123"/>
      <c r="AA38" s="123"/>
      <c r="AB38" s="123"/>
      <c r="AC38" s="123"/>
      <c r="AD38" s="192" t="s">
        <v>102</v>
      </c>
      <c r="AE38" s="234"/>
      <c r="AF38" s="201"/>
      <c r="AG38" s="123"/>
      <c r="AH38" s="123"/>
      <c r="AI38" s="123"/>
      <c r="AJ38" s="123"/>
      <c r="AK38" s="123"/>
      <c r="AL38" s="123"/>
      <c r="AM38" s="123"/>
      <c r="AN38" s="123"/>
      <c r="AO38" s="123"/>
      <c r="AP38" s="123"/>
      <c r="AQ38" s="123"/>
      <c r="AR38" s="123"/>
      <c r="AS38" s="123"/>
      <c r="AT38" s="123"/>
      <c r="AU38" s="22"/>
      <c r="AV38" s="22"/>
      <c r="AW38" s="22"/>
      <c r="AX38" s="22"/>
      <c r="AY38" s="22"/>
      <c r="AZ38" s="22"/>
      <c r="BA38" s="22"/>
      <c r="BB38" s="22"/>
      <c r="BC38" s="22"/>
      <c r="BD38" s="22"/>
      <c r="BE38" s="22"/>
      <c r="BF38" s="22"/>
      <c r="BG38" s="22"/>
      <c r="BH38" s="22"/>
      <c r="BI38" s="22"/>
      <c r="BJ38" s="22"/>
      <c r="BK38" s="22"/>
      <c r="BL38" s="22"/>
      <c r="BM38" s="22"/>
      <c r="BN38" s="22"/>
      <c r="BO38" s="22"/>
      <c r="BP38" s="22"/>
      <c r="BQ38" s="22"/>
      <c r="BR38" s="22"/>
      <c r="BS38" s="22"/>
      <c r="BT38" s="22"/>
      <c r="BU38" s="22"/>
      <c r="BV38" s="22"/>
      <c r="BW38" s="22"/>
      <c r="BX38" s="22"/>
      <c r="BY38" s="22"/>
      <c r="BZ38" s="22"/>
      <c r="CA38" s="22"/>
      <c r="CB38" s="22"/>
      <c r="CC38" s="22"/>
    </row>
    <row r="39" spans="2:81" s="26" customFormat="1" ht="13">
      <c r="B39" s="34"/>
      <c r="C39" s="173">
        <v>9.5</v>
      </c>
      <c r="D39" s="242" t="str">
        <f t="shared" si="2"/>
        <v>RC</v>
      </c>
      <c r="E39" s="243" t="s">
        <v>141</v>
      </c>
      <c r="F39" s="247"/>
      <c r="G39" s="265"/>
      <c r="H39" s="174">
        <v>9.5</v>
      </c>
      <c r="I39" s="242" t="str">
        <f t="shared" si="0"/>
        <v>CM</v>
      </c>
      <c r="J39" s="247" t="s">
        <v>32</v>
      </c>
      <c r="K39" s="247" t="s">
        <v>242</v>
      </c>
      <c r="L39" s="248" t="s">
        <v>236</v>
      </c>
      <c r="M39" s="174">
        <v>9.5</v>
      </c>
      <c r="N39" s="242" t="str">
        <f t="shared" si="1"/>
        <v>CD</v>
      </c>
      <c r="O39" s="247" t="s">
        <v>119</v>
      </c>
      <c r="P39" s="247" t="s">
        <v>246</v>
      </c>
      <c r="Q39" s="248" t="s">
        <v>236</v>
      </c>
      <c r="R39" s="175">
        <v>9.5</v>
      </c>
      <c r="S39" s="242" t="str">
        <f t="shared" si="3"/>
        <v>CD</v>
      </c>
      <c r="T39" s="247" t="s">
        <v>119</v>
      </c>
      <c r="U39" s="264" t="s">
        <v>237</v>
      </c>
      <c r="V39" s="248" t="s">
        <v>236</v>
      </c>
      <c r="W39" s="28"/>
      <c r="X39" s="123"/>
      <c r="Y39" s="123"/>
      <c r="Z39" s="123"/>
      <c r="AA39" s="123"/>
      <c r="AB39" s="123"/>
      <c r="AC39" s="123"/>
      <c r="AD39" s="192" t="s">
        <v>183</v>
      </c>
      <c r="AE39" s="234"/>
      <c r="AF39" s="201"/>
      <c r="AG39" s="123"/>
      <c r="AH39" s="123"/>
      <c r="AI39" s="123"/>
      <c r="AJ39" s="123"/>
      <c r="AK39" s="123"/>
      <c r="AL39" s="123"/>
      <c r="AM39" s="123"/>
      <c r="AN39" s="123"/>
      <c r="AO39" s="123"/>
      <c r="AP39" s="123"/>
      <c r="AQ39" s="123"/>
      <c r="AR39" s="123"/>
      <c r="AS39" s="123"/>
      <c r="AT39" s="123"/>
      <c r="AU39" s="22"/>
      <c r="AV39" s="22"/>
      <c r="AW39" s="22"/>
      <c r="AX39" s="22"/>
      <c r="AY39" s="22"/>
      <c r="AZ39" s="22"/>
      <c r="BA39" s="22"/>
      <c r="BB39" s="22"/>
      <c r="BC39" s="22"/>
      <c r="BD39" s="22"/>
      <c r="BE39" s="22"/>
      <c r="BF39" s="22"/>
      <c r="BG39" s="22"/>
      <c r="BH39" s="22"/>
      <c r="BI39" s="22"/>
      <c r="BJ39" s="22"/>
      <c r="BK39" s="22"/>
      <c r="BL39" s="22"/>
      <c r="BM39" s="22"/>
      <c r="BN39" s="22"/>
      <c r="BO39" s="22"/>
      <c r="BP39" s="22"/>
      <c r="BQ39" s="22"/>
      <c r="BR39" s="22"/>
      <c r="BS39" s="22"/>
      <c r="BT39" s="22"/>
      <c r="BU39" s="22"/>
      <c r="BV39" s="22"/>
      <c r="BW39" s="22"/>
      <c r="BX39" s="22"/>
      <c r="BY39" s="22"/>
      <c r="BZ39" s="22"/>
      <c r="CA39" s="22"/>
      <c r="CB39" s="22"/>
      <c r="CC39" s="22"/>
    </row>
    <row r="40" spans="2:81" s="26" customFormat="1" ht="13">
      <c r="B40" s="34"/>
      <c r="C40" s="173">
        <v>10</v>
      </c>
      <c r="D40" s="242" t="str">
        <f t="shared" si="2"/>
        <v>RC</v>
      </c>
      <c r="E40" s="243" t="s">
        <v>141</v>
      </c>
      <c r="F40" s="247"/>
      <c r="G40" s="265"/>
      <c r="H40" s="174">
        <v>10</v>
      </c>
      <c r="I40" s="242" t="str">
        <f t="shared" si="0"/>
        <v>CD</v>
      </c>
      <c r="J40" s="247" t="s">
        <v>119</v>
      </c>
      <c r="K40" s="247" t="s">
        <v>248</v>
      </c>
      <c r="L40" s="248" t="s">
        <v>236</v>
      </c>
      <c r="M40" s="174">
        <v>10</v>
      </c>
      <c r="N40" s="242" t="str">
        <f t="shared" si="1"/>
        <v>CD</v>
      </c>
      <c r="O40" s="247" t="s">
        <v>119</v>
      </c>
      <c r="P40" s="247" t="s">
        <v>248</v>
      </c>
      <c r="Q40" s="248" t="s">
        <v>236</v>
      </c>
      <c r="R40" s="175">
        <v>10</v>
      </c>
      <c r="S40" s="242" t="str">
        <f t="shared" si="3"/>
        <v>AF</v>
      </c>
      <c r="T40" s="247" t="s">
        <v>96</v>
      </c>
      <c r="U40" s="264" t="s">
        <v>85</v>
      </c>
      <c r="V40" s="248"/>
      <c r="W40" s="28"/>
      <c r="X40" s="123"/>
      <c r="Y40" s="123"/>
      <c r="Z40" s="123"/>
      <c r="AA40" s="123"/>
      <c r="AB40" s="123"/>
      <c r="AC40" s="123"/>
      <c r="AD40" s="192" t="s">
        <v>174</v>
      </c>
      <c r="AE40" s="234"/>
      <c r="AF40" s="201"/>
      <c r="AG40" s="123"/>
      <c r="AH40" s="123"/>
      <c r="AI40" s="123"/>
      <c r="AJ40" s="123"/>
      <c r="AK40" s="123"/>
      <c r="AL40" s="123"/>
      <c r="AM40" s="123"/>
      <c r="AN40" s="123"/>
      <c r="AO40" s="123"/>
      <c r="AP40" s="123"/>
      <c r="AQ40" s="123"/>
      <c r="AR40" s="123"/>
      <c r="AS40" s="123"/>
      <c r="AT40" s="123"/>
      <c r="AU40" s="22"/>
      <c r="AV40" s="22"/>
      <c r="AW40" s="22"/>
      <c r="AX40" s="22"/>
      <c r="AY40" s="22"/>
      <c r="AZ40" s="22"/>
      <c r="BA40" s="22"/>
      <c r="BB40" s="22"/>
      <c r="BC40" s="22"/>
      <c r="BD40" s="22"/>
      <c r="BE40" s="22"/>
      <c r="BF40" s="22"/>
      <c r="BG40" s="22"/>
      <c r="BH40" s="22"/>
      <c r="BI40" s="22"/>
      <c r="BJ40" s="22"/>
      <c r="BK40" s="22"/>
      <c r="BL40" s="22"/>
      <c r="BM40" s="22"/>
      <c r="BN40" s="22"/>
      <c r="BO40" s="22"/>
      <c r="BP40" s="22"/>
      <c r="BQ40" s="22"/>
      <c r="BR40" s="22"/>
      <c r="BS40" s="22"/>
      <c r="BT40" s="22"/>
      <c r="BU40" s="22"/>
      <c r="BV40" s="22"/>
      <c r="BW40" s="22"/>
      <c r="BX40" s="22"/>
      <c r="BY40" s="22"/>
      <c r="BZ40" s="22"/>
      <c r="CA40" s="22"/>
      <c r="CB40" s="22"/>
      <c r="CC40" s="22"/>
    </row>
    <row r="41" spans="2:81" s="26" customFormat="1" ht="13">
      <c r="B41" s="34"/>
      <c r="C41" s="173">
        <v>10.5</v>
      </c>
      <c r="D41" s="242" t="str">
        <f t="shared" si="2"/>
        <v>CD</v>
      </c>
      <c r="E41" s="243" t="s">
        <v>119</v>
      </c>
      <c r="F41" s="247" t="s">
        <v>246</v>
      </c>
      <c r="G41" s="265" t="s">
        <v>236</v>
      </c>
      <c r="H41" s="174">
        <v>10.5</v>
      </c>
      <c r="I41" s="242" t="str">
        <f t="shared" si="0"/>
        <v>CD</v>
      </c>
      <c r="J41" s="247" t="s">
        <v>119</v>
      </c>
      <c r="K41" s="264" t="s">
        <v>248</v>
      </c>
      <c r="L41" s="265" t="s">
        <v>236</v>
      </c>
      <c r="M41" s="174">
        <v>10.5</v>
      </c>
      <c r="N41" s="242" t="str">
        <f t="shared" si="1"/>
        <v>CD</v>
      </c>
      <c r="O41" s="247" t="s">
        <v>119</v>
      </c>
      <c r="P41" s="264" t="s">
        <v>246</v>
      </c>
      <c r="Q41" s="265" t="s">
        <v>236</v>
      </c>
      <c r="R41" s="175">
        <v>10.5</v>
      </c>
      <c r="S41" s="242" t="str">
        <f t="shared" si="3"/>
        <v>CM</v>
      </c>
      <c r="T41" s="247" t="s">
        <v>32</v>
      </c>
      <c r="U41" s="264" t="s">
        <v>245</v>
      </c>
      <c r="V41" s="248" t="s">
        <v>236</v>
      </c>
      <c r="W41" s="28"/>
      <c r="X41" s="123"/>
      <c r="Y41" s="123"/>
      <c r="Z41" s="123"/>
      <c r="AA41" s="123"/>
      <c r="AB41" s="123"/>
      <c r="AC41" s="123"/>
      <c r="AD41" s="193" t="s">
        <v>150</v>
      </c>
      <c r="AE41" s="234"/>
      <c r="AF41" s="201"/>
      <c r="AG41" s="123"/>
      <c r="AH41" s="123"/>
      <c r="AI41" s="123"/>
      <c r="AJ41" s="123"/>
      <c r="AK41" s="123"/>
      <c r="AL41" s="123"/>
      <c r="AM41" s="123"/>
      <c r="AN41" s="123"/>
      <c r="AO41" s="123"/>
      <c r="AP41" s="123"/>
      <c r="AQ41" s="123"/>
      <c r="AR41" s="123"/>
      <c r="AS41" s="123"/>
      <c r="AT41" s="123"/>
      <c r="AU41" s="22"/>
      <c r="AV41" s="22"/>
      <c r="AW41" s="22"/>
      <c r="AX41" s="22"/>
      <c r="AY41" s="22"/>
      <c r="AZ41" s="22"/>
      <c r="BA41" s="22"/>
      <c r="BB41" s="22"/>
      <c r="BC41" s="22"/>
      <c r="BD41" s="22"/>
      <c r="BE41" s="22"/>
      <c r="BF41" s="22"/>
      <c r="BG41" s="22"/>
      <c r="BH41" s="22"/>
      <c r="BI41" s="22"/>
      <c r="BJ41" s="22"/>
      <c r="BK41" s="22"/>
      <c r="BL41" s="22"/>
      <c r="BM41" s="22"/>
      <c r="BN41" s="22"/>
      <c r="BO41" s="22"/>
      <c r="BP41" s="22"/>
      <c r="BQ41" s="22"/>
      <c r="BR41" s="22"/>
      <c r="BS41" s="22"/>
      <c r="BT41" s="22"/>
      <c r="BU41" s="22"/>
      <c r="BV41" s="22"/>
      <c r="BW41" s="22"/>
      <c r="BX41" s="22"/>
      <c r="BY41" s="22"/>
      <c r="BZ41" s="22"/>
      <c r="CA41" s="22"/>
      <c r="CB41" s="22"/>
      <c r="CC41" s="22"/>
    </row>
    <row r="42" spans="2:81" s="26" customFormat="1" ht="13">
      <c r="B42" s="34"/>
      <c r="C42" s="173">
        <v>11</v>
      </c>
      <c r="D42" s="242" t="str">
        <f t="shared" si="2"/>
        <v>RC</v>
      </c>
      <c r="E42" s="243" t="s">
        <v>141</v>
      </c>
      <c r="F42" s="247"/>
      <c r="G42" s="265"/>
      <c r="H42" s="174">
        <v>11</v>
      </c>
      <c r="I42" s="242" t="str">
        <f t="shared" si="0"/>
        <v>RC</v>
      </c>
      <c r="J42" s="247" t="s">
        <v>141</v>
      </c>
      <c r="K42" s="247"/>
      <c r="L42" s="248"/>
      <c r="M42" s="174">
        <v>11</v>
      </c>
      <c r="N42" s="242" t="str">
        <f t="shared" si="1"/>
        <v>CM</v>
      </c>
      <c r="O42" s="247" t="s">
        <v>32</v>
      </c>
      <c r="P42" s="264" t="s">
        <v>242</v>
      </c>
      <c r="Q42" s="265" t="s">
        <v>236</v>
      </c>
      <c r="R42" s="175">
        <v>11</v>
      </c>
      <c r="S42" s="242" t="str">
        <f t="shared" si="3"/>
        <v>RC</v>
      </c>
      <c r="T42" s="247" t="s">
        <v>141</v>
      </c>
      <c r="U42" s="247"/>
      <c r="V42" s="248"/>
      <c r="W42" s="28"/>
      <c r="X42" s="123"/>
      <c r="Y42" s="123"/>
      <c r="Z42" s="123"/>
      <c r="AA42" s="123"/>
      <c r="AB42" s="123"/>
      <c r="AC42" s="123"/>
      <c r="AD42" s="193" t="s">
        <v>230</v>
      </c>
      <c r="AE42" s="234"/>
      <c r="AF42" s="201"/>
      <c r="AG42" s="123"/>
      <c r="AH42" s="123"/>
      <c r="AI42" s="123"/>
      <c r="AJ42" s="123"/>
      <c r="AK42" s="123"/>
      <c r="AL42" s="123"/>
      <c r="AM42" s="123"/>
      <c r="AN42" s="123"/>
      <c r="AO42" s="123"/>
      <c r="AP42" s="123"/>
      <c r="AQ42" s="123"/>
      <c r="AR42" s="123"/>
      <c r="AS42" s="123"/>
      <c r="AT42" s="123"/>
      <c r="AU42" s="22"/>
      <c r="AV42" s="22"/>
      <c r="AW42" s="22"/>
      <c r="AX42" s="22"/>
      <c r="AY42" s="22"/>
      <c r="AZ42" s="22"/>
      <c r="BA42" s="22"/>
      <c r="BB42" s="22"/>
      <c r="BC42" s="22"/>
      <c r="BD42" s="22"/>
      <c r="BE42" s="22"/>
      <c r="BF42" s="22"/>
      <c r="BG42" s="22"/>
      <c r="BH42" s="22"/>
      <c r="BI42" s="22"/>
      <c r="BJ42" s="22"/>
      <c r="BK42" s="22"/>
      <c r="BL42" s="22"/>
      <c r="BM42" s="22"/>
      <c r="BN42" s="22"/>
      <c r="BO42" s="22"/>
      <c r="BP42" s="22"/>
      <c r="BQ42" s="22"/>
      <c r="BR42" s="22"/>
      <c r="BS42" s="22"/>
      <c r="BT42" s="22"/>
      <c r="BU42" s="22"/>
      <c r="BV42" s="22"/>
      <c r="BW42" s="22"/>
      <c r="BX42" s="22"/>
      <c r="BY42" s="22"/>
      <c r="BZ42" s="22"/>
      <c r="CA42" s="22"/>
      <c r="CB42" s="22"/>
      <c r="CC42" s="22"/>
    </row>
    <row r="43" spans="2:81" s="26" customFormat="1" ht="13">
      <c r="B43" s="34"/>
      <c r="C43" s="173">
        <v>11.5</v>
      </c>
      <c r="D43" s="242" t="str">
        <f t="shared" si="2"/>
        <v>CM</v>
      </c>
      <c r="E43" s="243" t="s">
        <v>32</v>
      </c>
      <c r="F43" s="247" t="s">
        <v>245</v>
      </c>
      <c r="G43" s="248" t="s">
        <v>236</v>
      </c>
      <c r="H43" s="174">
        <v>11.5</v>
      </c>
      <c r="I43" s="242" t="str">
        <f t="shared" si="0"/>
        <v>RC</v>
      </c>
      <c r="J43" s="247" t="s">
        <v>141</v>
      </c>
      <c r="K43" s="264"/>
      <c r="L43" s="265"/>
      <c r="M43" s="174">
        <v>11.5</v>
      </c>
      <c r="N43" s="242" t="str">
        <f t="shared" si="1"/>
        <v>CD</v>
      </c>
      <c r="O43" s="247" t="s">
        <v>119</v>
      </c>
      <c r="P43" s="264" t="s">
        <v>250</v>
      </c>
      <c r="Q43" s="265" t="s">
        <v>236</v>
      </c>
      <c r="R43" s="175">
        <v>11.5</v>
      </c>
      <c r="S43" s="242" t="str">
        <f t="shared" si="3"/>
        <v>RC</v>
      </c>
      <c r="T43" s="247" t="s">
        <v>141</v>
      </c>
      <c r="U43" s="247"/>
      <c r="V43" s="248"/>
      <c r="W43" s="28"/>
      <c r="X43" s="123"/>
      <c r="Y43" s="123"/>
      <c r="Z43" s="123"/>
      <c r="AA43" s="123"/>
      <c r="AB43" s="123"/>
      <c r="AC43" s="123"/>
      <c r="AD43" s="192" t="s">
        <v>94</v>
      </c>
      <c r="AE43" s="234"/>
      <c r="AF43" s="201"/>
      <c r="AG43" s="123"/>
      <c r="AH43" s="123"/>
      <c r="AI43" s="123"/>
      <c r="AJ43" s="123"/>
      <c r="AK43" s="123"/>
      <c r="AL43" s="123"/>
      <c r="AM43" s="123"/>
      <c r="AN43" s="123"/>
      <c r="AO43" s="123"/>
      <c r="AP43" s="123"/>
      <c r="AQ43" s="123"/>
      <c r="AR43" s="123"/>
      <c r="AS43" s="123"/>
      <c r="AT43" s="123"/>
      <c r="AU43" s="22"/>
      <c r="AV43" s="22"/>
      <c r="AW43" s="22"/>
      <c r="AX43" s="22"/>
      <c r="AY43" s="22"/>
      <c r="AZ43" s="22"/>
      <c r="BA43" s="22"/>
      <c r="BB43" s="22"/>
      <c r="BC43" s="22"/>
      <c r="BD43" s="22"/>
      <c r="BE43" s="22"/>
      <c r="BF43" s="22"/>
      <c r="BG43" s="22"/>
      <c r="BH43" s="22"/>
      <c r="BI43" s="22"/>
      <c r="BJ43" s="22"/>
      <c r="BK43" s="22"/>
      <c r="BL43" s="22"/>
      <c r="BM43" s="22"/>
      <c r="BN43" s="22"/>
      <c r="BO43" s="22"/>
      <c r="BP43" s="22"/>
      <c r="BQ43" s="22"/>
      <c r="BR43" s="22"/>
      <c r="BS43" s="22"/>
      <c r="BT43" s="22"/>
      <c r="BU43" s="22"/>
      <c r="BV43" s="22"/>
      <c r="BW43" s="22"/>
      <c r="BX43" s="22"/>
      <c r="BY43" s="22"/>
      <c r="BZ43" s="22"/>
      <c r="CA43" s="22"/>
      <c r="CB43" s="22"/>
      <c r="CC43" s="22"/>
    </row>
    <row r="44" spans="2:81" s="26" customFormat="1" ht="13">
      <c r="B44" s="34"/>
      <c r="C44" s="173">
        <v>12</v>
      </c>
      <c r="D44" s="242" t="str">
        <f t="shared" si="2"/>
        <v>RC</v>
      </c>
      <c r="E44" s="243" t="s">
        <v>141</v>
      </c>
      <c r="F44" s="247"/>
      <c r="G44" s="248"/>
      <c r="H44" s="174">
        <v>12</v>
      </c>
      <c r="I44" s="242" t="str">
        <f t="shared" si="0"/>
        <v>CD</v>
      </c>
      <c r="J44" s="247" t="s">
        <v>119</v>
      </c>
      <c r="K44" s="247" t="s">
        <v>95</v>
      </c>
      <c r="L44" s="248" t="s">
        <v>236</v>
      </c>
      <c r="M44" s="174">
        <v>12</v>
      </c>
      <c r="N44" s="242" t="str">
        <f t="shared" si="1"/>
        <v>CM</v>
      </c>
      <c r="O44" s="247" t="s">
        <v>32</v>
      </c>
      <c r="P44" s="264" t="s">
        <v>245</v>
      </c>
      <c r="Q44" s="265" t="s">
        <v>236</v>
      </c>
      <c r="R44" s="175">
        <v>12</v>
      </c>
      <c r="S44" s="242" t="str">
        <f t="shared" si="3"/>
        <v>CM</v>
      </c>
      <c r="T44" s="247" t="s">
        <v>32</v>
      </c>
      <c r="U44" s="247" t="s">
        <v>245</v>
      </c>
      <c r="V44" s="248" t="s">
        <v>236</v>
      </c>
      <c r="W44" s="28"/>
      <c r="X44" s="123"/>
      <c r="Y44" s="123"/>
      <c r="Z44" s="123"/>
      <c r="AA44" s="123"/>
      <c r="AB44" s="123"/>
      <c r="AC44" s="123"/>
      <c r="AD44" s="192" t="s">
        <v>98</v>
      </c>
      <c r="AE44" s="234"/>
      <c r="AF44" s="201"/>
      <c r="AG44" s="123"/>
      <c r="AH44" s="123"/>
      <c r="AI44" s="123"/>
      <c r="AJ44" s="123"/>
      <c r="AK44" s="123"/>
      <c r="AL44" s="123"/>
      <c r="AM44" s="123"/>
      <c r="AN44" s="123"/>
      <c r="AO44" s="123"/>
      <c r="AP44" s="123"/>
      <c r="AQ44" s="123"/>
      <c r="AR44" s="123"/>
      <c r="AS44" s="123"/>
      <c r="AT44" s="123"/>
      <c r="AU44" s="22"/>
      <c r="AV44" s="22"/>
      <c r="AW44" s="22"/>
      <c r="AX44" s="22"/>
      <c r="AY44" s="22"/>
      <c r="AZ44" s="22"/>
      <c r="BA44" s="22"/>
      <c r="BB44" s="22"/>
      <c r="BC44" s="22"/>
      <c r="BD44" s="22"/>
      <c r="BE44" s="22"/>
      <c r="BF44" s="22"/>
      <c r="BG44" s="22"/>
      <c r="BH44" s="22"/>
      <c r="BI44" s="22"/>
      <c r="BJ44" s="22"/>
      <c r="BK44" s="22"/>
      <c r="BL44" s="22"/>
      <c r="BM44" s="22"/>
      <c r="BN44" s="22"/>
      <c r="BO44" s="22"/>
      <c r="BP44" s="22"/>
      <c r="BQ44" s="22"/>
      <c r="BR44" s="22"/>
      <c r="BS44" s="22"/>
      <c r="BT44" s="22"/>
      <c r="BU44" s="22"/>
      <c r="BV44" s="22"/>
      <c r="BW44" s="22"/>
      <c r="BX44" s="22"/>
      <c r="BY44" s="22"/>
      <c r="BZ44" s="22"/>
      <c r="CA44" s="22"/>
      <c r="CB44" s="22"/>
      <c r="CC44" s="22"/>
    </row>
    <row r="45" spans="2:81" s="26" customFormat="1" ht="13">
      <c r="B45" s="34"/>
      <c r="C45" s="173">
        <v>12.5</v>
      </c>
      <c r="D45" s="242" t="str">
        <f t="shared" si="2"/>
        <v>RC</v>
      </c>
      <c r="E45" s="243" t="s">
        <v>141</v>
      </c>
      <c r="F45" s="247"/>
      <c r="G45" s="248"/>
      <c r="H45" s="174">
        <v>12.5</v>
      </c>
      <c r="I45" s="242" t="str">
        <f t="shared" si="0"/>
        <v>RC</v>
      </c>
      <c r="J45" s="247" t="s">
        <v>141</v>
      </c>
      <c r="K45" s="264"/>
      <c r="L45" s="265"/>
      <c r="M45" s="174">
        <v>12.5</v>
      </c>
      <c r="N45" s="242" t="str">
        <f t="shared" si="1"/>
        <v>CD</v>
      </c>
      <c r="O45" s="247" t="s">
        <v>119</v>
      </c>
      <c r="P45" s="247" t="s">
        <v>246</v>
      </c>
      <c r="Q45" s="248" t="s">
        <v>236</v>
      </c>
      <c r="R45" s="175">
        <v>12.5</v>
      </c>
      <c r="S45" s="242" t="str">
        <f t="shared" si="3"/>
        <v>RC</v>
      </c>
      <c r="T45" s="247" t="s">
        <v>141</v>
      </c>
      <c r="U45" s="247"/>
      <c r="V45" s="248"/>
      <c r="W45" s="28"/>
      <c r="X45" s="123"/>
      <c r="Y45" s="123"/>
      <c r="Z45" s="123"/>
      <c r="AA45" s="123"/>
      <c r="AB45" s="123"/>
      <c r="AC45" s="123"/>
      <c r="AD45" s="192" t="s">
        <v>103</v>
      </c>
      <c r="AE45" s="234"/>
      <c r="AF45" s="201"/>
      <c r="AG45" s="123"/>
      <c r="AH45" s="123"/>
      <c r="AI45" s="123"/>
      <c r="AJ45" s="123"/>
      <c r="AK45" s="123"/>
      <c r="AL45" s="123"/>
      <c r="AM45" s="123"/>
      <c r="AN45" s="123"/>
      <c r="AO45" s="123"/>
      <c r="AP45" s="123"/>
      <c r="AQ45" s="123"/>
      <c r="AR45" s="123"/>
      <c r="AS45" s="123"/>
      <c r="AT45" s="123"/>
      <c r="AU45" s="22"/>
      <c r="AV45" s="22"/>
      <c r="AW45" s="22"/>
      <c r="AX45" s="22"/>
      <c r="AY45" s="22"/>
      <c r="AZ45" s="22"/>
      <c r="BA45" s="22"/>
      <c r="BB45" s="22"/>
      <c r="BC45" s="22"/>
      <c r="BD45" s="22"/>
      <c r="BE45" s="22"/>
      <c r="BF45" s="22"/>
      <c r="BG45" s="22"/>
      <c r="BH45" s="22"/>
      <c r="BI45" s="22"/>
      <c r="BJ45" s="22"/>
      <c r="BK45" s="22"/>
      <c r="BL45" s="22"/>
      <c r="BM45" s="22"/>
      <c r="BN45" s="22"/>
      <c r="BO45" s="22"/>
      <c r="BP45" s="22"/>
      <c r="BQ45" s="22"/>
      <c r="BR45" s="22"/>
      <c r="BS45" s="22"/>
      <c r="BT45" s="22"/>
      <c r="BU45" s="22"/>
      <c r="BV45" s="22"/>
      <c r="BW45" s="22"/>
      <c r="BX45" s="22"/>
      <c r="BY45" s="22"/>
      <c r="BZ45" s="22"/>
      <c r="CA45" s="22"/>
      <c r="CB45" s="22"/>
      <c r="CC45" s="22"/>
    </row>
    <row r="46" spans="2:81" s="26" customFormat="1" ht="13">
      <c r="B46" s="34"/>
      <c r="C46" s="173">
        <v>13</v>
      </c>
      <c r="D46" s="242" t="str">
        <f t="shared" si="2"/>
        <v>ACI</v>
      </c>
      <c r="E46" s="243" t="s">
        <v>91</v>
      </c>
      <c r="F46" s="247" t="s">
        <v>85</v>
      </c>
      <c r="G46" s="248"/>
      <c r="H46" s="174">
        <v>13</v>
      </c>
      <c r="I46" s="242" t="str">
        <f t="shared" si="0"/>
        <v>RC</v>
      </c>
      <c r="J46" s="247" t="s">
        <v>141</v>
      </c>
      <c r="K46" s="264"/>
      <c r="L46" s="265"/>
      <c r="M46" s="174">
        <v>13</v>
      </c>
      <c r="N46" s="242" t="str">
        <f t="shared" si="1"/>
        <v>CD</v>
      </c>
      <c r="O46" s="247" t="s">
        <v>119</v>
      </c>
      <c r="P46" s="264" t="s">
        <v>247</v>
      </c>
      <c r="Q46" s="265" t="s">
        <v>236</v>
      </c>
      <c r="R46" s="175">
        <v>13</v>
      </c>
      <c r="S46" s="242" t="str">
        <f t="shared" si="3"/>
        <v>CD</v>
      </c>
      <c r="T46" s="247" t="s">
        <v>119</v>
      </c>
      <c r="U46" s="247" t="s">
        <v>249</v>
      </c>
      <c r="V46" s="248" t="s">
        <v>236</v>
      </c>
      <c r="W46" s="28"/>
      <c r="X46" s="123"/>
      <c r="Y46" s="123"/>
      <c r="Z46" s="123"/>
      <c r="AA46" s="123"/>
      <c r="AB46" s="123"/>
      <c r="AC46" s="123"/>
      <c r="AD46" s="192" t="s">
        <v>108</v>
      </c>
      <c r="AE46" s="234"/>
      <c r="AF46" s="201"/>
      <c r="AG46" s="123"/>
      <c r="AH46" s="123"/>
      <c r="AI46" s="123"/>
      <c r="AJ46" s="123"/>
      <c r="AK46" s="123"/>
      <c r="AL46" s="123"/>
      <c r="AM46" s="123"/>
      <c r="AN46" s="123"/>
      <c r="AO46" s="123"/>
      <c r="AP46" s="123"/>
      <c r="AQ46" s="123"/>
      <c r="AR46" s="123"/>
      <c r="AS46" s="123"/>
      <c r="AT46" s="123"/>
      <c r="AU46" s="22"/>
      <c r="AV46" s="22"/>
      <c r="AW46" s="22"/>
      <c r="AX46" s="22"/>
      <c r="AY46" s="22"/>
      <c r="AZ46" s="22"/>
      <c r="BA46" s="22"/>
      <c r="BB46" s="22"/>
      <c r="BC46" s="22"/>
      <c r="BD46" s="22"/>
      <c r="BE46" s="22"/>
      <c r="BF46" s="22"/>
      <c r="BG46" s="22"/>
      <c r="BH46" s="22"/>
      <c r="BI46" s="22"/>
      <c r="BJ46" s="22"/>
      <c r="BK46" s="22"/>
      <c r="BL46" s="22"/>
      <c r="BM46" s="22"/>
      <c r="BN46" s="22"/>
      <c r="BO46" s="22"/>
      <c r="BP46" s="22"/>
      <c r="BQ46" s="22"/>
      <c r="BR46" s="22"/>
      <c r="BS46" s="22"/>
      <c r="BT46" s="22"/>
      <c r="BU46" s="22"/>
      <c r="BV46" s="22"/>
      <c r="BW46" s="22"/>
      <c r="BX46" s="22"/>
      <c r="BY46" s="22"/>
      <c r="BZ46" s="22"/>
      <c r="CA46" s="22"/>
      <c r="CB46" s="22"/>
      <c r="CC46" s="22"/>
    </row>
    <row r="47" spans="2:81" s="26" customFormat="1" ht="13">
      <c r="B47" s="34"/>
      <c r="C47" s="173">
        <v>13.5</v>
      </c>
      <c r="D47" s="242" t="str">
        <f t="shared" si="2"/>
        <v>CD</v>
      </c>
      <c r="E47" s="243" t="s">
        <v>119</v>
      </c>
      <c r="F47" s="247" t="s">
        <v>247</v>
      </c>
      <c r="G47" s="265" t="s">
        <v>236</v>
      </c>
      <c r="H47" s="174">
        <v>13.5</v>
      </c>
      <c r="I47" s="242" t="str">
        <f t="shared" si="0"/>
        <v>CM</v>
      </c>
      <c r="J47" s="247" t="s">
        <v>32</v>
      </c>
      <c r="K47" s="264" t="s">
        <v>245</v>
      </c>
      <c r="L47" s="265" t="s">
        <v>236</v>
      </c>
      <c r="M47" s="174">
        <v>13.5</v>
      </c>
      <c r="N47" s="242" t="str">
        <f t="shared" si="1"/>
        <v>CD</v>
      </c>
      <c r="O47" s="247" t="s">
        <v>119</v>
      </c>
      <c r="P47" s="247" t="s">
        <v>237</v>
      </c>
      <c r="Q47" s="248" t="s">
        <v>236</v>
      </c>
      <c r="R47" s="175">
        <v>13.5</v>
      </c>
      <c r="S47" s="242" t="str">
        <f t="shared" si="3"/>
        <v>CD</v>
      </c>
      <c r="T47" s="247" t="s">
        <v>119</v>
      </c>
      <c r="U47" s="247" t="s">
        <v>249</v>
      </c>
      <c r="V47" s="248" t="s">
        <v>236</v>
      </c>
      <c r="W47" s="28"/>
      <c r="X47" s="123"/>
      <c r="Y47" s="123"/>
      <c r="Z47" s="123"/>
      <c r="AA47" s="123"/>
      <c r="AB47" s="123"/>
      <c r="AC47" s="123"/>
      <c r="AD47" s="192" t="s">
        <v>142</v>
      </c>
      <c r="AE47" s="234"/>
      <c r="AF47" s="201"/>
      <c r="AG47" s="123"/>
      <c r="AH47" s="123"/>
      <c r="AI47" s="123"/>
      <c r="AJ47" s="123"/>
      <c r="AK47" s="123"/>
      <c r="AL47" s="123"/>
      <c r="AM47" s="123"/>
      <c r="AN47" s="123"/>
      <c r="AO47" s="123"/>
      <c r="AP47" s="123"/>
      <c r="AQ47" s="123"/>
      <c r="AR47" s="123"/>
      <c r="AS47" s="123"/>
      <c r="AT47" s="123"/>
      <c r="AU47" s="22"/>
      <c r="AV47" s="22"/>
      <c r="AW47" s="22"/>
      <c r="AX47" s="22"/>
      <c r="AY47" s="22"/>
      <c r="AZ47" s="22"/>
      <c r="BA47" s="22"/>
      <c r="BB47" s="22"/>
      <c r="BC47" s="22"/>
      <c r="BD47" s="22"/>
      <c r="BE47" s="22"/>
      <c r="BF47" s="22"/>
      <c r="BG47" s="22"/>
      <c r="BH47" s="22"/>
      <c r="BI47" s="22"/>
      <c r="BJ47" s="22"/>
      <c r="BK47" s="22"/>
      <c r="BL47" s="22"/>
      <c r="BM47" s="22"/>
      <c r="BN47" s="22"/>
      <c r="BO47" s="22"/>
      <c r="BP47" s="22"/>
      <c r="BQ47" s="22"/>
      <c r="BR47" s="22"/>
      <c r="BS47" s="22"/>
      <c r="BT47" s="22"/>
      <c r="BU47" s="22"/>
      <c r="BV47" s="22"/>
      <c r="BW47" s="22"/>
      <c r="BX47" s="22"/>
      <c r="BY47" s="22"/>
      <c r="BZ47" s="22"/>
      <c r="CA47" s="22"/>
      <c r="CB47" s="22"/>
      <c r="CC47" s="22"/>
    </row>
    <row r="48" spans="2:81" s="26" customFormat="1" ht="13">
      <c r="B48" s="34"/>
      <c r="C48" s="173">
        <v>14</v>
      </c>
      <c r="D48" s="242" t="str">
        <f t="shared" si="2"/>
        <v>RC</v>
      </c>
      <c r="E48" s="243" t="s">
        <v>141</v>
      </c>
      <c r="F48" s="247"/>
      <c r="G48" s="265"/>
      <c r="H48" s="174">
        <v>14</v>
      </c>
      <c r="I48" s="242" t="str">
        <f t="shared" si="0"/>
        <v>CM</v>
      </c>
      <c r="J48" s="247" t="s">
        <v>32</v>
      </c>
      <c r="K48" s="264" t="s">
        <v>242</v>
      </c>
      <c r="L48" s="265" t="s">
        <v>236</v>
      </c>
      <c r="M48" s="174">
        <v>14</v>
      </c>
      <c r="N48" s="242" t="str">
        <f t="shared" si="1"/>
        <v>CD</v>
      </c>
      <c r="O48" s="247" t="s">
        <v>119</v>
      </c>
      <c r="P48" s="247" t="s">
        <v>237</v>
      </c>
      <c r="Q48" s="248" t="s">
        <v>236</v>
      </c>
      <c r="R48" s="175">
        <v>14</v>
      </c>
      <c r="S48" s="242" t="str">
        <f t="shared" si="3"/>
        <v>CM</v>
      </c>
      <c r="T48" s="247" t="s">
        <v>32</v>
      </c>
      <c r="U48" s="247" t="s">
        <v>117</v>
      </c>
      <c r="V48" s="248" t="s">
        <v>236</v>
      </c>
      <c r="W48" s="28"/>
      <c r="X48" s="123"/>
      <c r="Y48" s="123"/>
      <c r="Z48" s="123"/>
      <c r="AA48" s="123"/>
      <c r="AB48" s="123"/>
      <c r="AC48" s="123"/>
      <c r="AD48" s="193" t="s">
        <v>234</v>
      </c>
      <c r="AE48" s="234"/>
      <c r="AF48" s="201"/>
      <c r="AG48" s="123"/>
      <c r="AH48" s="123"/>
      <c r="AI48" s="123"/>
      <c r="AJ48" s="123"/>
      <c r="AK48" s="123"/>
      <c r="AL48" s="123"/>
      <c r="AM48" s="123"/>
      <c r="AN48" s="123"/>
      <c r="AO48" s="123"/>
      <c r="AP48" s="123"/>
      <c r="AQ48" s="123"/>
      <c r="AR48" s="123"/>
      <c r="AS48" s="123"/>
      <c r="AT48" s="123"/>
      <c r="AU48" s="22"/>
      <c r="AV48" s="22"/>
      <c r="AW48" s="22"/>
      <c r="AX48" s="22"/>
      <c r="AY48" s="22"/>
      <c r="AZ48" s="22"/>
      <c r="BA48" s="22"/>
      <c r="BB48" s="22"/>
      <c r="BC48" s="22"/>
      <c r="BD48" s="22"/>
      <c r="BE48" s="22"/>
      <c r="BF48" s="22"/>
      <c r="BG48" s="22"/>
      <c r="BH48" s="22"/>
      <c r="BI48" s="22"/>
      <c r="BJ48" s="22"/>
      <c r="BK48" s="22"/>
      <c r="BL48" s="22"/>
      <c r="BM48" s="22"/>
      <c r="BN48" s="22"/>
      <c r="BO48" s="22"/>
      <c r="BP48" s="22"/>
      <c r="BQ48" s="22"/>
      <c r="BR48" s="22"/>
      <c r="BS48" s="22"/>
      <c r="BT48" s="22"/>
      <c r="BU48" s="22"/>
      <c r="BV48" s="22"/>
      <c r="BW48" s="22"/>
      <c r="BX48" s="22"/>
      <c r="BY48" s="22"/>
      <c r="BZ48" s="22"/>
      <c r="CA48" s="22"/>
      <c r="CB48" s="22"/>
      <c r="CC48" s="22"/>
    </row>
    <row r="49" spans="2:81" s="26" customFormat="1" ht="13">
      <c r="B49" s="34"/>
      <c r="C49" s="173">
        <v>14.5</v>
      </c>
      <c r="D49" s="242" t="str">
        <f t="shared" si="2"/>
        <v>ACI</v>
      </c>
      <c r="E49" s="243" t="s">
        <v>91</v>
      </c>
      <c r="F49" s="247" t="s">
        <v>85</v>
      </c>
      <c r="G49" s="248"/>
      <c r="H49" s="174">
        <v>14.5</v>
      </c>
      <c r="I49" s="242" t="str">
        <f t="shared" si="0"/>
        <v>CM</v>
      </c>
      <c r="J49" s="247" t="s">
        <v>32</v>
      </c>
      <c r="K49" s="264" t="s">
        <v>242</v>
      </c>
      <c r="L49" s="265" t="s">
        <v>236</v>
      </c>
      <c r="M49" s="174">
        <v>14.5</v>
      </c>
      <c r="N49" s="242" t="str">
        <f t="shared" si="1"/>
        <v>AF</v>
      </c>
      <c r="O49" s="247" t="s">
        <v>96</v>
      </c>
      <c r="P49" s="247" t="s">
        <v>85</v>
      </c>
      <c r="Q49" s="248"/>
      <c r="R49" s="175">
        <v>14.5</v>
      </c>
      <c r="S49" s="242" t="str">
        <f t="shared" si="3"/>
        <v>CM</v>
      </c>
      <c r="T49" s="247" t="s">
        <v>32</v>
      </c>
      <c r="U49" s="247" t="s">
        <v>117</v>
      </c>
      <c r="V49" s="248" t="s">
        <v>236</v>
      </c>
      <c r="W49" s="28"/>
      <c r="X49" s="123"/>
      <c r="Y49" s="123"/>
      <c r="Z49" s="123"/>
      <c r="AA49" s="123"/>
      <c r="AB49" s="123"/>
      <c r="AC49" s="123"/>
      <c r="AD49" s="193" t="s">
        <v>151</v>
      </c>
      <c r="AE49" s="234"/>
      <c r="AF49" s="201"/>
      <c r="AG49" s="123"/>
      <c r="AH49" s="123"/>
      <c r="AI49" s="123"/>
      <c r="AJ49" s="123"/>
      <c r="AK49" s="123"/>
      <c r="AL49" s="123"/>
      <c r="AM49" s="123"/>
      <c r="AN49" s="123"/>
      <c r="AO49" s="123"/>
      <c r="AP49" s="123"/>
      <c r="AQ49" s="123"/>
      <c r="AR49" s="123"/>
      <c r="AS49" s="123"/>
      <c r="AT49" s="123"/>
      <c r="AU49" s="22"/>
      <c r="AV49" s="22"/>
      <c r="AW49" s="22"/>
      <c r="AX49" s="22"/>
      <c r="AY49" s="22"/>
      <c r="AZ49" s="22"/>
      <c r="BA49" s="22"/>
      <c r="BB49" s="22"/>
      <c r="BC49" s="22"/>
      <c r="BD49" s="22"/>
      <c r="BE49" s="22"/>
      <c r="BF49" s="22"/>
      <c r="BG49" s="22"/>
      <c r="BH49" s="22"/>
      <c r="BI49" s="22"/>
      <c r="BJ49" s="22"/>
      <c r="BK49" s="22"/>
      <c r="BL49" s="22"/>
      <c r="BM49" s="22"/>
      <c r="BN49" s="22"/>
      <c r="BO49" s="22"/>
      <c r="BP49" s="22"/>
      <c r="BQ49" s="22"/>
      <c r="BR49" s="22"/>
      <c r="BS49" s="22"/>
      <c r="BT49" s="22"/>
      <c r="BU49" s="22"/>
      <c r="BV49" s="22"/>
      <c r="BW49" s="22"/>
      <c r="BX49" s="22"/>
      <c r="BY49" s="22"/>
      <c r="BZ49" s="22"/>
      <c r="CA49" s="22"/>
      <c r="CB49" s="22"/>
      <c r="CC49" s="22"/>
    </row>
    <row r="50" spans="2:81" s="26" customFormat="1" ht="13">
      <c r="B50" s="34"/>
      <c r="C50" s="173">
        <v>15</v>
      </c>
      <c r="D50" s="242" t="str">
        <f t="shared" si="2"/>
        <v>CM</v>
      </c>
      <c r="E50" s="243" t="s">
        <v>32</v>
      </c>
      <c r="F50" s="247" t="s">
        <v>245</v>
      </c>
      <c r="G50" s="248" t="s">
        <v>236</v>
      </c>
      <c r="H50" s="174">
        <v>15</v>
      </c>
      <c r="I50" s="242" t="str">
        <f t="shared" si="0"/>
        <v>RC</v>
      </c>
      <c r="J50" s="247" t="s">
        <v>141</v>
      </c>
      <c r="K50" s="247"/>
      <c r="L50" s="248"/>
      <c r="M50" s="174">
        <v>15</v>
      </c>
      <c r="N50" s="242" t="str">
        <f t="shared" si="1"/>
        <v>AF</v>
      </c>
      <c r="O50" s="247" t="s">
        <v>96</v>
      </c>
      <c r="P50" s="247" t="s">
        <v>85</v>
      </c>
      <c r="Q50" s="248"/>
      <c r="R50" s="175">
        <v>15</v>
      </c>
      <c r="S50" s="242" t="str">
        <f t="shared" si="3"/>
        <v>CM</v>
      </c>
      <c r="T50" s="247" t="s">
        <v>32</v>
      </c>
      <c r="U50" s="247" t="s">
        <v>117</v>
      </c>
      <c r="V50" s="248" t="s">
        <v>236</v>
      </c>
      <c r="W50" s="28"/>
      <c r="X50" s="123"/>
      <c r="Y50" s="123"/>
      <c r="Z50" s="123"/>
      <c r="AA50" s="123"/>
      <c r="AB50" s="123"/>
      <c r="AC50" s="123"/>
      <c r="AD50" s="189" t="s">
        <v>164</v>
      </c>
      <c r="AE50" s="234"/>
      <c r="AF50" s="201"/>
      <c r="AG50" s="123"/>
      <c r="AH50" s="123"/>
      <c r="AI50" s="123"/>
      <c r="AJ50" s="123"/>
      <c r="AK50" s="123"/>
      <c r="AL50" s="123"/>
      <c r="AM50" s="123"/>
      <c r="AN50" s="123"/>
      <c r="AO50" s="123"/>
      <c r="AP50" s="123"/>
      <c r="AQ50" s="123"/>
      <c r="AR50" s="123"/>
      <c r="AS50" s="123"/>
      <c r="AT50" s="123"/>
      <c r="AU50" s="22"/>
      <c r="AV50" s="22"/>
      <c r="AW50" s="22"/>
      <c r="AX50" s="22"/>
      <c r="AY50" s="22"/>
      <c r="AZ50" s="22"/>
      <c r="BA50" s="22"/>
      <c r="BB50" s="22"/>
      <c r="BC50" s="22"/>
      <c r="BD50" s="22"/>
      <c r="BE50" s="22"/>
      <c r="BF50" s="22"/>
      <c r="BG50" s="22"/>
      <c r="BH50" s="22"/>
      <c r="BI50" s="22"/>
      <c r="BJ50" s="22"/>
      <c r="BK50" s="22"/>
      <c r="BL50" s="22"/>
      <c r="BM50" s="22"/>
      <c r="BN50" s="22"/>
      <c r="BO50" s="22"/>
      <c r="BP50" s="22"/>
      <c r="BQ50" s="22"/>
      <c r="BR50" s="22"/>
      <c r="BS50" s="22"/>
      <c r="BT50" s="22"/>
      <c r="BU50" s="22"/>
      <c r="BV50" s="22"/>
      <c r="BW50" s="22"/>
      <c r="BX50" s="22"/>
      <c r="BY50" s="22"/>
      <c r="BZ50" s="22"/>
      <c r="CA50" s="22"/>
      <c r="CB50" s="22"/>
      <c r="CC50" s="22"/>
    </row>
    <row r="51" spans="2:81" s="26" customFormat="1" ht="13">
      <c r="B51" s="34"/>
      <c r="C51" s="173">
        <v>15.5</v>
      </c>
      <c r="D51" s="242" t="str">
        <f t="shared" si="2"/>
        <v>RC</v>
      </c>
      <c r="E51" s="243" t="s">
        <v>141</v>
      </c>
      <c r="F51" s="247"/>
      <c r="G51" s="248"/>
      <c r="H51" s="174">
        <v>15.5</v>
      </c>
      <c r="I51" s="242" t="str">
        <f t="shared" si="0"/>
        <v>CD</v>
      </c>
      <c r="J51" s="247" t="s">
        <v>119</v>
      </c>
      <c r="K51" s="247" t="s">
        <v>240</v>
      </c>
      <c r="L51" s="248" t="s">
        <v>236</v>
      </c>
      <c r="M51" s="174">
        <v>15.5</v>
      </c>
      <c r="N51" s="242" t="str">
        <f t="shared" si="1"/>
        <v>CM</v>
      </c>
      <c r="O51" s="247" t="s">
        <v>32</v>
      </c>
      <c r="P51" s="247" t="s">
        <v>245</v>
      </c>
      <c r="Q51" s="248" t="s">
        <v>236</v>
      </c>
      <c r="R51" s="175">
        <v>15.5</v>
      </c>
      <c r="S51" s="242" t="str">
        <f t="shared" si="3"/>
        <v>CM</v>
      </c>
      <c r="T51" s="247" t="s">
        <v>32</v>
      </c>
      <c r="U51" s="247" t="s">
        <v>245</v>
      </c>
      <c r="V51" s="248" t="s">
        <v>236</v>
      </c>
      <c r="W51" s="28"/>
      <c r="X51" s="123"/>
      <c r="Y51" s="123"/>
      <c r="Z51" s="123"/>
      <c r="AA51" s="123"/>
      <c r="AB51" s="123"/>
      <c r="AC51" s="123"/>
      <c r="AD51" s="219" t="s">
        <v>184</v>
      </c>
      <c r="AE51" s="234"/>
      <c r="AF51" s="201"/>
      <c r="AG51" s="123"/>
      <c r="AH51" s="123"/>
      <c r="AI51" s="123"/>
      <c r="AJ51" s="123"/>
      <c r="AK51" s="123"/>
      <c r="AL51" s="123"/>
      <c r="AM51" s="123"/>
      <c r="AN51" s="123"/>
      <c r="AO51" s="123"/>
      <c r="AP51" s="123"/>
      <c r="AQ51" s="123"/>
      <c r="AR51" s="123"/>
      <c r="AS51" s="123"/>
      <c r="AT51" s="123"/>
      <c r="AU51" s="22"/>
      <c r="AV51" s="22"/>
      <c r="AW51" s="22"/>
      <c r="AX51" s="22"/>
      <c r="AY51" s="22"/>
      <c r="AZ51" s="22"/>
      <c r="BA51" s="22"/>
      <c r="BB51" s="22"/>
      <c r="BC51" s="22"/>
      <c r="BD51" s="22"/>
      <c r="BE51" s="22"/>
      <c r="BF51" s="22"/>
      <c r="BG51" s="22"/>
      <c r="BH51" s="22"/>
      <c r="BI51" s="22"/>
      <c r="BJ51" s="22"/>
      <c r="BK51" s="22"/>
      <c r="BL51" s="22"/>
      <c r="BM51" s="22"/>
      <c r="BN51" s="22"/>
      <c r="BO51" s="22"/>
      <c r="BP51" s="22"/>
      <c r="BQ51" s="22"/>
      <c r="BR51" s="22"/>
      <c r="BS51" s="22"/>
      <c r="BT51" s="22"/>
      <c r="BU51" s="22"/>
      <c r="BV51" s="22"/>
      <c r="BW51" s="22"/>
      <c r="BX51" s="22"/>
      <c r="BY51" s="22"/>
      <c r="BZ51" s="22"/>
      <c r="CA51" s="22"/>
      <c r="CB51" s="22"/>
      <c r="CC51" s="22"/>
    </row>
    <row r="52" spans="2:81" s="26" customFormat="1" ht="13">
      <c r="B52" s="34"/>
      <c r="C52" s="173">
        <v>16</v>
      </c>
      <c r="D52" s="242" t="str">
        <f t="shared" si="2"/>
        <v>AF</v>
      </c>
      <c r="E52" s="247" t="s">
        <v>96</v>
      </c>
      <c r="F52" s="247" t="s">
        <v>85</v>
      </c>
      <c r="G52" s="248"/>
      <c r="H52" s="174">
        <v>16</v>
      </c>
      <c r="I52" s="242" t="str">
        <f t="shared" si="0"/>
        <v>AF</v>
      </c>
      <c r="J52" s="247" t="s">
        <v>96</v>
      </c>
      <c r="K52" s="247" t="s">
        <v>85</v>
      </c>
      <c r="L52" s="265"/>
      <c r="M52" s="174">
        <v>16</v>
      </c>
      <c r="N52" s="242" t="str">
        <f t="shared" si="1"/>
        <v>CD</v>
      </c>
      <c r="O52" s="247" t="s">
        <v>119</v>
      </c>
      <c r="P52" s="247" t="s">
        <v>240</v>
      </c>
      <c r="Q52" s="248" t="s">
        <v>236</v>
      </c>
      <c r="R52" s="175">
        <v>16</v>
      </c>
      <c r="S52" s="242" t="str">
        <f t="shared" si="3"/>
        <v>CD</v>
      </c>
      <c r="T52" s="247" t="s">
        <v>119</v>
      </c>
      <c r="U52" s="247" t="s">
        <v>237</v>
      </c>
      <c r="V52" s="248" t="s">
        <v>236</v>
      </c>
      <c r="W52" s="28"/>
      <c r="X52" s="123"/>
      <c r="Y52" s="123"/>
      <c r="Z52" s="123"/>
      <c r="AA52" s="123"/>
      <c r="AB52" s="123"/>
      <c r="AC52" s="123"/>
      <c r="AD52" s="194" t="s">
        <v>117</v>
      </c>
      <c r="AE52" s="234"/>
      <c r="AF52" s="201"/>
      <c r="AG52" s="123"/>
      <c r="AH52" s="123"/>
      <c r="AI52" s="123"/>
      <c r="AJ52" s="123"/>
      <c r="AK52" s="123"/>
      <c r="AL52" s="123"/>
      <c r="AM52" s="123"/>
      <c r="AN52" s="123"/>
      <c r="AO52" s="123"/>
      <c r="AP52" s="123"/>
      <c r="AQ52" s="123"/>
      <c r="AR52" s="123"/>
      <c r="AS52" s="123"/>
      <c r="AT52" s="123"/>
      <c r="AU52" s="22"/>
      <c r="AV52" s="22"/>
      <c r="AW52" s="22"/>
      <c r="AX52" s="22"/>
      <c r="AY52" s="22"/>
      <c r="AZ52" s="22"/>
      <c r="BA52" s="22"/>
      <c r="BB52" s="22"/>
      <c r="BC52" s="22"/>
      <c r="BD52" s="22"/>
      <c r="BE52" s="22"/>
      <c r="BF52" s="22"/>
      <c r="BG52" s="22"/>
      <c r="BH52" s="22"/>
      <c r="BI52" s="22"/>
      <c r="BJ52" s="22"/>
      <c r="BK52" s="22"/>
      <c r="BL52" s="22"/>
      <c r="BM52" s="22"/>
      <c r="BN52" s="22"/>
      <c r="BO52" s="22"/>
      <c r="BP52" s="22"/>
      <c r="BQ52" s="22"/>
      <c r="BR52" s="22"/>
      <c r="BS52" s="22"/>
      <c r="BT52" s="22"/>
      <c r="BU52" s="22"/>
      <c r="BV52" s="22"/>
      <c r="BW52" s="22"/>
      <c r="BX52" s="22"/>
      <c r="BY52" s="22"/>
      <c r="BZ52" s="22"/>
      <c r="CA52" s="22"/>
      <c r="CB52" s="22"/>
      <c r="CC52" s="22"/>
    </row>
    <row r="53" spans="2:81" s="26" customFormat="1" ht="13">
      <c r="B53" s="34"/>
      <c r="C53" s="173">
        <v>16.5</v>
      </c>
      <c r="D53" s="242" t="str">
        <f t="shared" si="2"/>
        <v>RC</v>
      </c>
      <c r="E53" s="243" t="s">
        <v>141</v>
      </c>
      <c r="F53" s="247"/>
      <c r="G53" s="248"/>
      <c r="H53" s="174">
        <v>16.5</v>
      </c>
      <c r="I53" s="242" t="str">
        <f t="shared" si="0"/>
        <v>CD</v>
      </c>
      <c r="J53" s="247" t="s">
        <v>119</v>
      </c>
      <c r="K53" s="264" t="s">
        <v>248</v>
      </c>
      <c r="L53" s="265" t="s">
        <v>236</v>
      </c>
      <c r="M53" s="174">
        <v>16.5</v>
      </c>
      <c r="N53" s="242" t="str">
        <f t="shared" si="1"/>
        <v>CD</v>
      </c>
      <c r="O53" s="247" t="s">
        <v>119</v>
      </c>
      <c r="P53" s="247" t="s">
        <v>237</v>
      </c>
      <c r="Q53" s="248" t="s">
        <v>236</v>
      </c>
      <c r="R53" s="175">
        <v>16.5</v>
      </c>
      <c r="S53" s="242" t="str">
        <f t="shared" si="3"/>
        <v>CM</v>
      </c>
      <c r="T53" s="247" t="s">
        <v>32</v>
      </c>
      <c r="U53" s="247" t="s">
        <v>245</v>
      </c>
      <c r="V53" s="248" t="s">
        <v>236</v>
      </c>
      <c r="W53" s="28"/>
      <c r="X53" s="123"/>
      <c r="Y53" s="123"/>
      <c r="Z53" s="123"/>
      <c r="AA53" s="123"/>
      <c r="AB53" s="123"/>
      <c r="AC53" s="123"/>
      <c r="AD53" s="194" t="s">
        <v>200</v>
      </c>
      <c r="AE53" s="234"/>
      <c r="AF53" s="201"/>
      <c r="AG53" s="123"/>
      <c r="AH53" s="123"/>
      <c r="AI53" s="123"/>
      <c r="AJ53" s="123"/>
      <c r="AK53" s="123"/>
      <c r="AL53" s="123"/>
      <c r="AM53" s="123"/>
      <c r="AN53" s="123"/>
      <c r="AO53" s="123"/>
      <c r="AP53" s="123"/>
      <c r="AQ53" s="123"/>
      <c r="AR53" s="123"/>
      <c r="AS53" s="123"/>
      <c r="AT53" s="123"/>
      <c r="AU53" s="22"/>
      <c r="AV53" s="22"/>
      <c r="AW53" s="22"/>
      <c r="AX53" s="22"/>
      <c r="AY53" s="22"/>
      <c r="AZ53" s="22"/>
      <c r="BA53" s="22"/>
      <c r="BB53" s="22"/>
      <c r="BC53" s="22"/>
      <c r="BD53" s="22"/>
      <c r="BE53" s="22"/>
      <c r="BF53" s="22"/>
      <c r="BG53" s="22"/>
      <c r="BH53" s="22"/>
      <c r="BI53" s="22"/>
      <c r="BJ53" s="22"/>
      <c r="BK53" s="22"/>
      <c r="BL53" s="22"/>
      <c r="BM53" s="22"/>
      <c r="BN53" s="22"/>
      <c r="BO53" s="22"/>
      <c r="BP53" s="22"/>
      <c r="BQ53" s="22"/>
      <c r="BR53" s="22"/>
      <c r="BS53" s="22"/>
      <c r="BT53" s="22"/>
      <c r="BU53" s="22"/>
      <c r="BV53" s="22"/>
      <c r="BW53" s="22"/>
      <c r="BX53" s="22"/>
      <c r="BY53" s="22"/>
      <c r="BZ53" s="22"/>
      <c r="CA53" s="22"/>
      <c r="CB53" s="22"/>
      <c r="CC53" s="22"/>
    </row>
    <row r="54" spans="2:81" s="26" customFormat="1" ht="13">
      <c r="B54" s="34"/>
      <c r="C54" s="173">
        <v>17</v>
      </c>
      <c r="D54" s="242" t="str">
        <f t="shared" si="2"/>
        <v>CRM</v>
      </c>
      <c r="E54" s="243" t="s">
        <v>26</v>
      </c>
      <c r="F54" s="247" t="s">
        <v>237</v>
      </c>
      <c r="G54" s="248"/>
      <c r="H54" s="174">
        <v>17</v>
      </c>
      <c r="I54" s="242" t="str">
        <f t="shared" si="0"/>
        <v>CD</v>
      </c>
      <c r="J54" s="247" t="s">
        <v>119</v>
      </c>
      <c r="K54" s="264" t="s">
        <v>237</v>
      </c>
      <c r="L54" s="265" t="s">
        <v>236</v>
      </c>
      <c r="M54" s="174">
        <v>17</v>
      </c>
      <c r="N54" s="242" t="str">
        <f t="shared" si="1"/>
        <v>CD</v>
      </c>
      <c r="O54" s="247" t="s">
        <v>119</v>
      </c>
      <c r="P54" s="247" t="s">
        <v>246</v>
      </c>
      <c r="Q54" s="248" t="s">
        <v>236</v>
      </c>
      <c r="R54" s="175">
        <v>17</v>
      </c>
      <c r="S54" s="242" t="str">
        <f t="shared" si="3"/>
        <v>CD</v>
      </c>
      <c r="T54" s="247" t="s">
        <v>119</v>
      </c>
      <c r="U54" s="264" t="s">
        <v>246</v>
      </c>
      <c r="V54" s="248" t="s">
        <v>236</v>
      </c>
      <c r="W54" s="28"/>
      <c r="X54" s="123"/>
      <c r="Y54" s="123"/>
      <c r="Z54" s="123"/>
      <c r="AA54" s="123"/>
      <c r="AB54" s="123"/>
      <c r="AC54" s="123"/>
      <c r="AD54" s="194" t="s">
        <v>152</v>
      </c>
      <c r="AE54" s="234"/>
      <c r="AF54" s="201"/>
      <c r="AG54" s="123"/>
      <c r="AH54" s="123"/>
      <c r="AI54" s="123"/>
      <c r="AJ54" s="123"/>
      <c r="AK54" s="123"/>
      <c r="AL54" s="123"/>
      <c r="AM54" s="123"/>
      <c r="AN54" s="123"/>
      <c r="AO54" s="123"/>
      <c r="AP54" s="123"/>
      <c r="AQ54" s="123"/>
      <c r="AR54" s="123"/>
      <c r="AS54" s="123"/>
      <c r="AT54" s="123"/>
      <c r="AU54" s="22"/>
      <c r="AV54" s="22"/>
      <c r="AW54" s="22"/>
      <c r="AX54" s="22"/>
      <c r="AY54" s="22"/>
      <c r="AZ54" s="22"/>
      <c r="BA54" s="22"/>
      <c r="BB54" s="22"/>
      <c r="BC54" s="22"/>
      <c r="BD54" s="22"/>
      <c r="BE54" s="22"/>
      <c r="BF54" s="22"/>
      <c r="BG54" s="22"/>
      <c r="BH54" s="22"/>
      <c r="BI54" s="22"/>
      <c r="BJ54" s="22"/>
      <c r="BK54" s="22"/>
      <c r="BL54" s="22"/>
      <c r="BM54" s="22"/>
      <c r="BN54" s="22"/>
      <c r="BO54" s="22"/>
      <c r="BP54" s="22"/>
      <c r="BQ54" s="22"/>
      <c r="BR54" s="22"/>
      <c r="BS54" s="22"/>
      <c r="BT54" s="22"/>
      <c r="BU54" s="22"/>
      <c r="BV54" s="22"/>
      <c r="BW54" s="22"/>
      <c r="BX54" s="22"/>
      <c r="BY54" s="22"/>
      <c r="BZ54" s="22"/>
      <c r="CA54" s="22"/>
      <c r="CB54" s="22"/>
      <c r="CC54" s="22"/>
    </row>
    <row r="55" spans="2:81" s="26" customFormat="1" ht="13">
      <c r="B55" s="34"/>
      <c r="C55" s="173">
        <v>17.5</v>
      </c>
      <c r="D55" s="242" t="str">
        <f t="shared" si="2"/>
        <v>CD</v>
      </c>
      <c r="E55" s="243" t="s">
        <v>119</v>
      </c>
      <c r="F55" s="264" t="s">
        <v>238</v>
      </c>
      <c r="G55" s="265" t="s">
        <v>236</v>
      </c>
      <c r="H55" s="174">
        <v>17.5</v>
      </c>
      <c r="I55" s="242" t="str">
        <f t="shared" si="0"/>
        <v>CD</v>
      </c>
      <c r="J55" s="247" t="s">
        <v>119</v>
      </c>
      <c r="K55" s="247" t="s">
        <v>237</v>
      </c>
      <c r="L55" s="248" t="s">
        <v>236</v>
      </c>
      <c r="M55" s="174">
        <v>17.5</v>
      </c>
      <c r="N55" s="242" t="str">
        <f t="shared" si="1"/>
        <v>RC</v>
      </c>
      <c r="O55" s="247" t="s">
        <v>141</v>
      </c>
      <c r="P55" s="247"/>
      <c r="Q55" s="248"/>
      <c r="R55" s="175">
        <v>17.5</v>
      </c>
      <c r="S55" s="242" t="str">
        <f t="shared" si="3"/>
        <v>CD</v>
      </c>
      <c r="T55" s="247" t="s">
        <v>119</v>
      </c>
      <c r="U55" s="247" t="s">
        <v>246</v>
      </c>
      <c r="V55" s="248" t="s">
        <v>236</v>
      </c>
      <c r="W55" s="28"/>
      <c r="X55" s="123"/>
      <c r="Y55" s="123"/>
      <c r="Z55" s="123"/>
      <c r="AA55" s="123"/>
      <c r="AB55" s="123"/>
      <c r="AC55" s="123"/>
      <c r="AD55" s="194" t="s">
        <v>231</v>
      </c>
      <c r="AE55" s="201"/>
      <c r="AF55" s="201"/>
      <c r="AG55" s="123"/>
      <c r="AH55" s="123"/>
      <c r="AI55" s="123"/>
      <c r="AJ55" s="123"/>
      <c r="AK55" s="123"/>
      <c r="AL55" s="123"/>
      <c r="AM55" s="123"/>
      <c r="AN55" s="123"/>
      <c r="AO55" s="123"/>
      <c r="AP55" s="123"/>
      <c r="AQ55" s="123"/>
      <c r="AR55" s="123"/>
      <c r="AS55" s="123"/>
      <c r="AT55" s="123"/>
      <c r="AU55" s="22"/>
      <c r="AV55" s="22"/>
      <c r="AW55" s="22"/>
      <c r="AX55" s="22"/>
      <c r="AY55" s="22"/>
      <c r="AZ55" s="22"/>
      <c r="BA55" s="22"/>
      <c r="BB55" s="22"/>
      <c r="BC55" s="22"/>
      <c r="BD55" s="22"/>
      <c r="BE55" s="22"/>
      <c r="BF55" s="22"/>
      <c r="BG55" s="22"/>
      <c r="BH55" s="22"/>
      <c r="BI55" s="22"/>
      <c r="BJ55" s="22"/>
      <c r="BK55" s="22"/>
      <c r="BL55" s="22"/>
      <c r="BM55" s="22"/>
      <c r="BN55" s="22"/>
      <c r="BO55" s="22"/>
      <c r="BP55" s="22"/>
      <c r="BQ55" s="22"/>
      <c r="BR55" s="22"/>
      <c r="BS55" s="22"/>
      <c r="BT55" s="22"/>
      <c r="BU55" s="22"/>
      <c r="BV55" s="22"/>
      <c r="BW55" s="22"/>
      <c r="BX55" s="22"/>
      <c r="BY55" s="22"/>
      <c r="BZ55" s="22"/>
      <c r="CA55" s="22"/>
      <c r="CB55" s="22"/>
      <c r="CC55" s="22"/>
    </row>
    <row r="56" spans="2:81" s="26" customFormat="1" ht="13">
      <c r="B56" s="34"/>
      <c r="C56" s="173">
        <v>18</v>
      </c>
      <c r="D56" s="242" t="str">
        <f t="shared" si="2"/>
        <v>AF</v>
      </c>
      <c r="E56" s="243" t="s">
        <v>96</v>
      </c>
      <c r="F56" s="264" t="s">
        <v>85</v>
      </c>
      <c r="G56" s="265"/>
      <c r="H56" s="174">
        <v>18</v>
      </c>
      <c r="I56" s="242" t="str">
        <f t="shared" si="0"/>
        <v>CD</v>
      </c>
      <c r="J56" s="247" t="s">
        <v>119</v>
      </c>
      <c r="K56" s="247" t="s">
        <v>237</v>
      </c>
      <c r="L56" s="248" t="s">
        <v>236</v>
      </c>
      <c r="M56" s="174">
        <v>18</v>
      </c>
      <c r="N56" s="242" t="str">
        <f t="shared" si="1"/>
        <v>CD</v>
      </c>
      <c r="O56" s="247" t="s">
        <v>119</v>
      </c>
      <c r="P56" s="247" t="s">
        <v>246</v>
      </c>
      <c r="Q56" s="248" t="s">
        <v>236</v>
      </c>
      <c r="R56" s="175">
        <v>18</v>
      </c>
      <c r="S56" s="242" t="str">
        <f t="shared" si="3"/>
        <v>RC</v>
      </c>
      <c r="T56" s="247" t="s">
        <v>141</v>
      </c>
      <c r="U56" s="247"/>
      <c r="V56" s="248"/>
      <c r="W56" s="28"/>
      <c r="X56" s="123"/>
      <c r="Y56" s="123"/>
      <c r="Z56" s="123"/>
      <c r="AA56" s="123"/>
      <c r="AB56" s="123"/>
      <c r="AC56" s="123"/>
      <c r="AD56" s="194" t="s">
        <v>232</v>
      </c>
      <c r="AE56" s="201"/>
      <c r="AF56" s="201"/>
      <c r="AG56" s="123"/>
      <c r="AH56" s="123"/>
      <c r="AI56" s="123"/>
      <c r="AJ56" s="123"/>
      <c r="AK56" s="123"/>
      <c r="AL56" s="123"/>
      <c r="AM56" s="123"/>
      <c r="AN56" s="123"/>
      <c r="AO56" s="123"/>
      <c r="AP56" s="123"/>
      <c r="AQ56" s="123"/>
      <c r="AR56" s="123"/>
      <c r="AS56" s="123"/>
      <c r="AT56" s="123"/>
      <c r="AU56" s="22"/>
      <c r="AV56" s="22"/>
      <c r="AW56" s="22"/>
      <c r="AX56" s="22"/>
      <c r="AY56" s="22"/>
      <c r="AZ56" s="22"/>
      <c r="BA56" s="22"/>
      <c r="BB56" s="22"/>
      <c r="BC56" s="22"/>
      <c r="BD56" s="22"/>
      <c r="BE56" s="22"/>
      <c r="BF56" s="22"/>
      <c r="BG56" s="22"/>
      <c r="BH56" s="22"/>
      <c r="BI56" s="22"/>
      <c r="BJ56" s="22"/>
      <c r="BK56" s="22"/>
      <c r="BL56" s="22"/>
      <c r="BM56" s="22"/>
      <c r="BN56" s="22"/>
      <c r="BO56" s="22"/>
      <c r="BP56" s="22"/>
      <c r="BQ56" s="22"/>
      <c r="BR56" s="22"/>
      <c r="BS56" s="22"/>
      <c r="BT56" s="22"/>
      <c r="BU56" s="22"/>
      <c r="BV56" s="22"/>
      <c r="BW56" s="22"/>
      <c r="BX56" s="22"/>
      <c r="BY56" s="22"/>
      <c r="BZ56" s="22"/>
      <c r="CA56" s="22"/>
      <c r="CB56" s="22"/>
      <c r="CC56" s="22"/>
    </row>
    <row r="57" spans="2:81" s="26" customFormat="1" ht="13">
      <c r="B57" s="34"/>
      <c r="C57" s="173">
        <v>18.5</v>
      </c>
      <c r="D57" s="242" t="str">
        <f t="shared" si="2"/>
        <v>ACI</v>
      </c>
      <c r="E57" s="243" t="s">
        <v>91</v>
      </c>
      <c r="F57" s="247" t="s">
        <v>85</v>
      </c>
      <c r="G57" s="248"/>
      <c r="H57" s="174">
        <v>18.5</v>
      </c>
      <c r="I57" s="242" t="str">
        <f t="shared" si="0"/>
        <v>RC</v>
      </c>
      <c r="J57" s="247" t="s">
        <v>141</v>
      </c>
      <c r="K57" s="247"/>
      <c r="L57" s="248"/>
      <c r="M57" s="174">
        <v>18.5</v>
      </c>
      <c r="N57" s="242" t="str">
        <f t="shared" si="1"/>
        <v>RC</v>
      </c>
      <c r="O57" s="247" t="s">
        <v>141</v>
      </c>
      <c r="P57" s="264"/>
      <c r="Q57" s="265"/>
      <c r="R57" s="175">
        <v>18.5</v>
      </c>
      <c r="S57" s="242" t="str">
        <f t="shared" si="3"/>
        <v>CM</v>
      </c>
      <c r="T57" s="247" t="s">
        <v>32</v>
      </c>
      <c r="U57" s="264" t="s">
        <v>245</v>
      </c>
      <c r="V57" s="248" t="s">
        <v>236</v>
      </c>
      <c r="W57" s="28"/>
      <c r="X57" s="123"/>
      <c r="Y57" s="123"/>
      <c r="Z57" s="123"/>
      <c r="AA57" s="123"/>
      <c r="AB57" s="123"/>
      <c r="AC57" s="123"/>
      <c r="AD57" s="194" t="s">
        <v>153</v>
      </c>
      <c r="AE57" s="201"/>
      <c r="AF57" s="201"/>
      <c r="AG57" s="123"/>
      <c r="AH57" s="123"/>
      <c r="AI57" s="123"/>
      <c r="AJ57" s="123"/>
      <c r="AK57" s="123"/>
      <c r="AL57" s="123"/>
      <c r="AM57" s="123"/>
      <c r="AN57" s="123"/>
      <c r="AO57" s="123"/>
      <c r="AP57" s="123"/>
      <c r="AQ57" s="123"/>
      <c r="AR57" s="123"/>
      <c r="AS57" s="123"/>
      <c r="AT57" s="123"/>
      <c r="AU57" s="22"/>
      <c r="AV57" s="22"/>
      <c r="AW57" s="22"/>
      <c r="AX57" s="22"/>
      <c r="AY57" s="22"/>
      <c r="AZ57" s="22"/>
      <c r="BA57" s="22"/>
      <c r="BB57" s="22"/>
      <c r="BC57" s="22"/>
      <c r="BD57" s="22"/>
      <c r="BE57" s="22"/>
      <c r="BF57" s="22"/>
      <c r="BG57" s="22"/>
      <c r="BH57" s="22"/>
      <c r="BI57" s="22"/>
      <c r="BJ57" s="22"/>
      <c r="BK57" s="22"/>
      <c r="BL57" s="22"/>
      <c r="BM57" s="22"/>
      <c r="BN57" s="22"/>
      <c r="BO57" s="22"/>
      <c r="BP57" s="22"/>
      <c r="BQ57" s="22"/>
      <c r="BR57" s="22"/>
      <c r="BS57" s="22"/>
      <c r="BT57" s="22"/>
      <c r="BU57" s="22"/>
      <c r="BV57" s="22"/>
      <c r="BW57" s="22"/>
      <c r="BX57" s="22"/>
      <c r="BY57" s="22"/>
      <c r="BZ57" s="22"/>
      <c r="CA57" s="22"/>
      <c r="CB57" s="22"/>
      <c r="CC57" s="22"/>
    </row>
    <row r="58" spans="2:81" s="26" customFormat="1" ht="13">
      <c r="B58" s="34"/>
      <c r="C58" s="173">
        <v>19</v>
      </c>
      <c r="D58" s="242" t="str">
        <f t="shared" si="2"/>
        <v>CD</v>
      </c>
      <c r="E58" s="243" t="s">
        <v>119</v>
      </c>
      <c r="F58" s="264" t="s">
        <v>246</v>
      </c>
      <c r="G58" s="265" t="s">
        <v>236</v>
      </c>
      <c r="H58" s="174">
        <v>19</v>
      </c>
      <c r="I58" s="242" t="str">
        <f t="shared" si="0"/>
        <v>CD</v>
      </c>
      <c r="J58" s="247" t="s">
        <v>119</v>
      </c>
      <c r="K58" s="264" t="s">
        <v>249</v>
      </c>
      <c r="L58" s="265" t="s">
        <v>236</v>
      </c>
      <c r="M58" s="174">
        <v>19</v>
      </c>
      <c r="N58" s="242" t="str">
        <f t="shared" si="1"/>
        <v>CD</v>
      </c>
      <c r="O58" s="247" t="s">
        <v>119</v>
      </c>
      <c r="P58" s="247" t="s">
        <v>246</v>
      </c>
      <c r="Q58" s="248" t="s">
        <v>236</v>
      </c>
      <c r="R58" s="175">
        <v>19</v>
      </c>
      <c r="S58" s="242" t="str">
        <f t="shared" si="3"/>
        <v>CM</v>
      </c>
      <c r="T58" s="247" t="s">
        <v>32</v>
      </c>
      <c r="U58" s="247" t="s">
        <v>117</v>
      </c>
      <c r="V58" s="248" t="s">
        <v>236</v>
      </c>
      <c r="W58" s="28"/>
      <c r="X58" s="123"/>
      <c r="Y58" s="123"/>
      <c r="Z58" s="123"/>
      <c r="AA58" s="123"/>
      <c r="AB58" s="123"/>
      <c r="AC58" s="123"/>
      <c r="AD58" s="194" t="s">
        <v>233</v>
      </c>
      <c r="AE58" s="201"/>
      <c r="AF58" s="201"/>
      <c r="AG58" s="123"/>
      <c r="AH58" s="123"/>
      <c r="AI58" s="123"/>
      <c r="AJ58" s="123"/>
      <c r="AK58" s="123"/>
      <c r="AL58" s="123"/>
      <c r="AM58" s="123"/>
      <c r="AN58" s="123"/>
      <c r="AO58" s="123"/>
      <c r="AP58" s="123"/>
      <c r="AQ58" s="123"/>
      <c r="AR58" s="123"/>
      <c r="AS58" s="123"/>
      <c r="AT58" s="123"/>
      <c r="AU58" s="22"/>
      <c r="AV58" s="22"/>
      <c r="AW58" s="22"/>
      <c r="AX58" s="22"/>
      <c r="AY58" s="22"/>
      <c r="AZ58" s="22"/>
      <c r="BA58" s="22"/>
      <c r="BB58" s="22"/>
      <c r="BC58" s="22"/>
      <c r="BD58" s="22"/>
      <c r="BE58" s="22"/>
      <c r="BF58" s="22"/>
      <c r="BG58" s="22"/>
      <c r="BH58" s="22"/>
      <c r="BI58" s="22"/>
      <c r="BJ58" s="22"/>
      <c r="BK58" s="22"/>
      <c r="BL58" s="22"/>
      <c r="BM58" s="22"/>
      <c r="BN58" s="22"/>
      <c r="BO58" s="22"/>
      <c r="BP58" s="22"/>
      <c r="BQ58" s="22"/>
      <c r="BR58" s="22"/>
      <c r="BS58" s="22"/>
      <c r="BT58" s="22"/>
      <c r="BU58" s="22"/>
      <c r="BV58" s="22"/>
      <c r="BW58" s="22"/>
      <c r="BX58" s="22"/>
      <c r="BY58" s="22"/>
      <c r="BZ58" s="22"/>
      <c r="CA58" s="22"/>
      <c r="CB58" s="22"/>
      <c r="CC58" s="22"/>
    </row>
    <row r="59" spans="2:81" s="26" customFormat="1" ht="14" thickBot="1">
      <c r="B59" s="34"/>
      <c r="C59" s="176">
        <v>19.5</v>
      </c>
      <c r="D59" s="244" t="str">
        <f t="shared" si="2"/>
        <v>CD</v>
      </c>
      <c r="E59" s="245" t="s">
        <v>119</v>
      </c>
      <c r="F59" s="264" t="s">
        <v>246</v>
      </c>
      <c r="G59" s="265" t="s">
        <v>236</v>
      </c>
      <c r="H59" s="177">
        <v>19.5</v>
      </c>
      <c r="I59" s="244" t="str">
        <f t="shared" si="0"/>
        <v>CD</v>
      </c>
      <c r="J59" s="245" t="s">
        <v>119</v>
      </c>
      <c r="K59" s="249" t="s">
        <v>248</v>
      </c>
      <c r="L59" s="250" t="s">
        <v>236</v>
      </c>
      <c r="M59" s="177">
        <v>19.5</v>
      </c>
      <c r="N59" s="244" t="str">
        <f t="shared" si="1"/>
        <v>RC</v>
      </c>
      <c r="O59" s="245" t="s">
        <v>141</v>
      </c>
      <c r="P59" s="264"/>
      <c r="Q59" s="265"/>
      <c r="R59" s="178">
        <v>19.5</v>
      </c>
      <c r="S59" s="244" t="str">
        <f t="shared" si="3"/>
        <v>CM</v>
      </c>
      <c r="T59" s="245" t="s">
        <v>32</v>
      </c>
      <c r="U59" s="249" t="s">
        <v>117</v>
      </c>
      <c r="V59" s="250" t="s">
        <v>236</v>
      </c>
      <c r="W59" s="28"/>
      <c r="X59" s="123"/>
      <c r="Y59" s="123"/>
      <c r="Z59" s="123"/>
      <c r="AA59" s="123"/>
      <c r="AB59" s="123"/>
      <c r="AC59" s="123"/>
      <c r="AD59" s="194" t="s">
        <v>118</v>
      </c>
      <c r="AE59" s="201"/>
      <c r="AF59" s="201"/>
      <c r="AG59" s="123"/>
      <c r="AH59" s="123"/>
      <c r="AI59" s="123"/>
      <c r="AJ59" s="123"/>
      <c r="AK59" s="123"/>
      <c r="AL59" s="123"/>
      <c r="AM59" s="123"/>
      <c r="AN59" s="123"/>
      <c r="AO59" s="123"/>
      <c r="AP59" s="123"/>
      <c r="AQ59" s="123"/>
      <c r="AR59" s="123"/>
      <c r="AS59" s="123"/>
      <c r="AT59" s="123"/>
      <c r="AU59" s="22"/>
      <c r="AV59" s="22"/>
      <c r="AW59" s="22"/>
      <c r="AX59" s="22"/>
      <c r="AY59" s="22"/>
      <c r="AZ59" s="22"/>
      <c r="BA59" s="22"/>
      <c r="BB59" s="22"/>
      <c r="BC59" s="22"/>
      <c r="BD59" s="22"/>
      <c r="BE59" s="22"/>
      <c r="BF59" s="22"/>
      <c r="BG59" s="22"/>
      <c r="BH59" s="22"/>
      <c r="BI59" s="22"/>
      <c r="BJ59" s="22"/>
      <c r="BK59" s="22"/>
      <c r="BL59" s="22"/>
      <c r="BM59" s="22"/>
      <c r="BN59" s="22"/>
      <c r="BO59" s="22"/>
      <c r="BP59" s="22"/>
      <c r="BQ59" s="22"/>
      <c r="BR59" s="22"/>
      <c r="BS59" s="22"/>
      <c r="BT59" s="22"/>
      <c r="BU59" s="22"/>
      <c r="BV59" s="22"/>
      <c r="BW59" s="22"/>
      <c r="BX59" s="22"/>
      <c r="BY59" s="22"/>
      <c r="BZ59" s="22"/>
      <c r="CA59" s="22"/>
      <c r="CB59" s="22"/>
      <c r="CC59" s="22"/>
    </row>
    <row r="60" spans="2:81" s="26" customFormat="1" ht="13">
      <c r="B60" s="34"/>
      <c r="C60" s="174"/>
      <c r="D60" s="179"/>
      <c r="E60" s="179"/>
      <c r="F60" s="180" t="s">
        <v>49</v>
      </c>
      <c r="G60" s="258">
        <f>COUNTIF(G20:G59, "Doente")</f>
        <v>0</v>
      </c>
      <c r="H60" s="179"/>
      <c r="I60" s="179"/>
      <c r="J60" s="30"/>
      <c r="K60" s="180" t="s">
        <v>49</v>
      </c>
      <c r="L60" s="260">
        <f>COUNTIF(L20:L59, "Doente")</f>
        <v>0</v>
      </c>
      <c r="M60" s="179"/>
      <c r="N60" s="30"/>
      <c r="O60" s="179"/>
      <c r="P60" s="180" t="s">
        <v>49</v>
      </c>
      <c r="Q60" s="260">
        <f>COUNTIF(Q20:Q59, "Doente")</f>
        <v>0</v>
      </c>
      <c r="R60" s="174"/>
      <c r="S60" s="30"/>
      <c r="T60" s="179"/>
      <c r="U60" s="180" t="s">
        <v>49</v>
      </c>
      <c r="V60" s="260">
        <f>COUNTIF(V20:V59, "Doente")</f>
        <v>0</v>
      </c>
      <c r="W60" s="28"/>
      <c r="X60" s="123"/>
      <c r="Y60" s="123"/>
      <c r="Z60" s="123"/>
      <c r="AA60" s="123"/>
      <c r="AB60" s="123"/>
      <c r="AC60" s="123"/>
      <c r="AD60" s="194" t="s">
        <v>123</v>
      </c>
      <c r="AE60" s="201"/>
      <c r="AF60" s="201"/>
      <c r="AG60" s="123"/>
      <c r="AH60" s="123"/>
      <c r="AI60" s="123"/>
      <c r="AJ60" s="123"/>
      <c r="AK60" s="123"/>
      <c r="AL60" s="123"/>
      <c r="AM60" s="123"/>
      <c r="AN60" s="123"/>
      <c r="AO60" s="123"/>
      <c r="AP60" s="123"/>
      <c r="AQ60" s="123"/>
      <c r="AR60" s="123"/>
      <c r="AS60" s="123"/>
      <c r="AT60" s="123"/>
      <c r="AU60" s="22"/>
      <c r="AV60" s="22"/>
      <c r="AW60" s="22"/>
      <c r="AX60" s="22"/>
      <c r="AY60" s="22"/>
      <c r="AZ60" s="22"/>
      <c r="BA60" s="22"/>
      <c r="BB60" s="22"/>
      <c r="BC60" s="22"/>
      <c r="BD60" s="22"/>
      <c r="BE60" s="22"/>
      <c r="BF60" s="22"/>
      <c r="BG60" s="22"/>
      <c r="BH60" s="22"/>
      <c r="BI60" s="22"/>
      <c r="BJ60" s="22"/>
      <c r="BK60" s="22"/>
      <c r="BL60" s="22"/>
      <c r="BM60" s="22"/>
      <c r="BN60" s="22"/>
      <c r="BO60" s="22"/>
      <c r="BP60" s="22"/>
      <c r="BQ60" s="22"/>
      <c r="BR60" s="22"/>
      <c r="BS60" s="22"/>
      <c r="BT60" s="22"/>
      <c r="BU60" s="22"/>
      <c r="BV60" s="22"/>
      <c r="BW60" s="22"/>
      <c r="BX60" s="22"/>
      <c r="BY60" s="22"/>
      <c r="BZ60" s="22"/>
      <c r="CA60" s="22"/>
      <c r="CB60" s="22"/>
      <c r="CC60" s="22"/>
    </row>
    <row r="61" spans="2:81" s="26" customFormat="1" ht="14" thickBot="1">
      <c r="B61" s="34"/>
      <c r="C61" s="174"/>
      <c r="D61" s="179"/>
      <c r="E61" s="179"/>
      <c r="F61" s="180" t="s">
        <v>51</v>
      </c>
      <c r="G61" s="259">
        <f>COUNTIF(G20:G59, "Branqueada")</f>
        <v>0</v>
      </c>
      <c r="H61" s="179"/>
      <c r="I61" s="179"/>
      <c r="J61" s="30"/>
      <c r="K61" s="180" t="s">
        <v>51</v>
      </c>
      <c r="L61" s="259">
        <f>COUNTIF(L20:L59, "Branqueada")</f>
        <v>0</v>
      </c>
      <c r="M61" s="179"/>
      <c r="N61" s="30"/>
      <c r="O61" s="179"/>
      <c r="P61" s="180" t="s">
        <v>51</v>
      </c>
      <c r="Q61" s="259">
        <f>COUNTIF(Q20:Q59, "Branqueada")</f>
        <v>0</v>
      </c>
      <c r="R61" s="174"/>
      <c r="S61" s="30"/>
      <c r="T61" s="179"/>
      <c r="U61" s="180" t="s">
        <v>51</v>
      </c>
      <c r="V61" s="259">
        <f>COUNTIF(V20:V59, "Branqueada")</f>
        <v>0</v>
      </c>
      <c r="W61" s="28"/>
      <c r="X61" s="123"/>
      <c r="Y61" s="123"/>
      <c r="Z61" s="123"/>
      <c r="AA61" s="123"/>
      <c r="AB61" s="123"/>
      <c r="AC61" s="123"/>
      <c r="AD61" s="194" t="s">
        <v>185</v>
      </c>
      <c r="AE61" s="201"/>
      <c r="AF61" s="201"/>
      <c r="AG61" s="123"/>
      <c r="AH61" s="123"/>
      <c r="AI61" s="123"/>
      <c r="AJ61" s="123"/>
      <c r="AK61" s="123"/>
      <c r="AL61" s="123"/>
      <c r="AM61" s="123"/>
      <c r="AN61" s="123"/>
      <c r="AO61" s="123"/>
      <c r="AP61" s="123"/>
      <c r="AQ61" s="123"/>
      <c r="AR61" s="123"/>
      <c r="AS61" s="123"/>
      <c r="AT61" s="123"/>
      <c r="AU61" s="22"/>
      <c r="AV61" s="22"/>
      <c r="AW61" s="22"/>
      <c r="AX61" s="22"/>
      <c r="AY61" s="22"/>
      <c r="AZ61" s="22"/>
      <c r="BA61" s="22"/>
      <c r="BB61" s="22"/>
      <c r="BC61" s="22"/>
      <c r="BD61" s="22"/>
      <c r="BE61" s="22"/>
      <c r="BF61" s="22"/>
      <c r="BG61" s="22"/>
      <c r="BH61" s="22"/>
      <c r="BI61" s="22"/>
      <c r="BJ61" s="22"/>
      <c r="BK61" s="22"/>
      <c r="BL61" s="22"/>
      <c r="BM61" s="22"/>
      <c r="BN61" s="22"/>
      <c r="BO61" s="22"/>
      <c r="BP61" s="22"/>
      <c r="BQ61" s="22"/>
      <c r="BR61" s="22"/>
      <c r="BS61" s="22"/>
      <c r="BT61" s="22"/>
      <c r="BU61" s="22"/>
      <c r="BV61" s="22"/>
      <c r="BW61" s="22"/>
      <c r="BX61" s="22"/>
      <c r="BY61" s="22"/>
      <c r="BZ61" s="22"/>
      <c r="CA61" s="22"/>
      <c r="CB61" s="22"/>
      <c r="CC61" s="22"/>
    </row>
    <row r="62" spans="2:81" s="26" customFormat="1" ht="6.75" customHeight="1" thickBot="1">
      <c r="B62" s="34"/>
      <c r="C62" s="30"/>
      <c r="D62" s="179"/>
      <c r="E62" s="179"/>
      <c r="F62" s="30"/>
      <c r="G62" s="179"/>
      <c r="H62" s="30"/>
      <c r="I62" s="179"/>
      <c r="J62" s="179"/>
      <c r="K62" s="30"/>
      <c r="L62" s="179"/>
      <c r="M62" s="179"/>
      <c r="N62" s="179"/>
      <c r="O62" s="179"/>
      <c r="P62" s="30"/>
      <c r="Q62" s="179"/>
      <c r="R62" s="30"/>
      <c r="S62" s="179"/>
      <c r="T62" s="179"/>
      <c r="U62" s="30"/>
      <c r="V62" s="179"/>
      <c r="W62" s="28"/>
      <c r="X62" s="123"/>
      <c r="Y62" s="123"/>
      <c r="Z62" s="123"/>
      <c r="AA62" s="123"/>
      <c r="AB62" s="123"/>
      <c r="AC62" s="123"/>
      <c r="AD62" s="219" t="s">
        <v>186</v>
      </c>
      <c r="AE62" s="201"/>
      <c r="AF62" s="201"/>
      <c r="AG62" s="123"/>
      <c r="AH62" s="123"/>
      <c r="AI62" s="123"/>
      <c r="AJ62" s="123"/>
      <c r="AK62" s="123"/>
      <c r="AL62" s="123"/>
      <c r="AM62" s="123"/>
      <c r="AN62" s="123"/>
      <c r="AO62" s="123"/>
      <c r="AP62" s="123"/>
      <c r="AQ62" s="123"/>
      <c r="AR62" s="123"/>
      <c r="AS62" s="123"/>
      <c r="AT62" s="123"/>
      <c r="AU62" s="22"/>
      <c r="AV62" s="22"/>
      <c r="AW62" s="22"/>
      <c r="AX62" s="22"/>
      <c r="AY62" s="22"/>
      <c r="AZ62" s="22"/>
      <c r="BA62" s="22"/>
      <c r="BB62" s="22"/>
      <c r="BC62" s="22"/>
      <c r="BD62" s="22"/>
      <c r="BE62" s="22"/>
      <c r="BF62" s="22"/>
      <c r="BG62" s="22"/>
      <c r="BH62" s="22"/>
      <c r="BI62" s="22"/>
      <c r="BJ62" s="22"/>
      <c r="BK62" s="22"/>
      <c r="BL62" s="22"/>
      <c r="BM62" s="22"/>
      <c r="BN62" s="22"/>
      <c r="BO62" s="22"/>
      <c r="BP62" s="22"/>
      <c r="BQ62" s="22"/>
      <c r="BR62" s="22"/>
      <c r="BS62" s="22"/>
      <c r="BT62" s="22"/>
      <c r="BU62" s="22"/>
      <c r="BV62" s="22"/>
      <c r="BW62" s="22"/>
      <c r="BX62" s="22"/>
      <c r="BY62" s="22"/>
      <c r="BZ62" s="22"/>
      <c r="CA62" s="22"/>
      <c r="CB62" s="22"/>
      <c r="CC62" s="22"/>
    </row>
    <row r="63" spans="2:81" s="26" customFormat="1" ht="13">
      <c r="B63" s="34"/>
      <c r="C63" s="39"/>
      <c r="D63" s="159" t="s">
        <v>154</v>
      </c>
      <c r="E63" s="361"/>
      <c r="F63" s="362"/>
      <c r="G63" s="362"/>
      <c r="H63" s="362"/>
      <c r="I63" s="362"/>
      <c r="J63" s="362"/>
      <c r="K63" s="362"/>
      <c r="L63" s="363"/>
      <c r="M63" s="179"/>
      <c r="N63" s="179"/>
      <c r="O63" s="179"/>
      <c r="P63" s="179"/>
      <c r="Q63" s="179"/>
      <c r="R63" s="179"/>
      <c r="S63" s="179"/>
      <c r="T63" s="179"/>
      <c r="U63" s="179"/>
      <c r="V63" s="179"/>
      <c r="W63" s="58"/>
      <c r="X63" s="6"/>
      <c r="Y63" s="6"/>
      <c r="Z63" s="6"/>
      <c r="AA63" s="6"/>
      <c r="AB63" s="6"/>
      <c r="AC63" s="6"/>
      <c r="AD63" s="194" t="s">
        <v>132</v>
      </c>
      <c r="AE63" s="201"/>
      <c r="AF63" s="201"/>
      <c r="AG63" s="6"/>
      <c r="AH63" s="6"/>
      <c r="AI63" s="6"/>
      <c r="AJ63" s="6"/>
      <c r="AK63" s="6"/>
      <c r="AL63" s="6"/>
      <c r="AM63" s="6"/>
      <c r="AN63" s="6"/>
      <c r="AO63" s="6"/>
      <c r="AP63" s="6"/>
      <c r="AQ63" s="6"/>
      <c r="AR63" s="6"/>
      <c r="AS63" s="6"/>
      <c r="AT63" s="6"/>
      <c r="AU63" s="16"/>
      <c r="AV63" s="16"/>
      <c r="AW63" s="16"/>
      <c r="AX63" s="16"/>
      <c r="AY63" s="16"/>
      <c r="AZ63" s="16"/>
      <c r="BA63" s="16"/>
      <c r="BB63" s="16"/>
      <c r="BC63" s="16"/>
      <c r="BD63" s="16"/>
      <c r="BE63" s="16"/>
      <c r="BF63" s="16"/>
      <c r="BG63" s="16"/>
      <c r="BH63" s="16"/>
      <c r="BI63" s="16"/>
      <c r="BJ63" s="16"/>
      <c r="BK63" s="16"/>
      <c r="BL63" s="16"/>
      <c r="BM63" s="16"/>
      <c r="BN63" s="16"/>
      <c r="BO63" s="16"/>
      <c r="BP63" s="16"/>
      <c r="BQ63" s="16"/>
      <c r="BR63" s="16"/>
      <c r="BS63" s="16"/>
      <c r="BT63" s="16"/>
      <c r="BU63" s="16"/>
      <c r="BV63" s="16"/>
      <c r="BW63" s="16"/>
      <c r="BX63" s="16"/>
      <c r="BY63" s="16"/>
      <c r="BZ63" s="16"/>
      <c r="CA63" s="16"/>
      <c r="CB63" s="16"/>
      <c r="CC63" s="16"/>
    </row>
    <row r="64" spans="2:81" s="26" customFormat="1" ht="13">
      <c r="B64" s="34"/>
      <c r="C64" s="80"/>
      <c r="D64" s="80"/>
      <c r="E64" s="364"/>
      <c r="F64" s="365"/>
      <c r="G64" s="365"/>
      <c r="H64" s="365"/>
      <c r="I64" s="365"/>
      <c r="J64" s="365"/>
      <c r="K64" s="365"/>
      <c r="L64" s="366"/>
      <c r="M64" s="179"/>
      <c r="N64" s="179"/>
      <c r="O64" s="179"/>
      <c r="P64" s="179"/>
      <c r="Q64" s="179"/>
      <c r="R64" s="179"/>
      <c r="S64" s="179"/>
      <c r="T64" s="179"/>
      <c r="U64" s="179"/>
      <c r="V64" s="179"/>
      <c r="W64" s="58"/>
      <c r="X64" s="6"/>
      <c r="Y64" s="6"/>
      <c r="Z64" s="6"/>
      <c r="AA64" s="6"/>
      <c r="AB64" s="6"/>
      <c r="AC64" s="6"/>
      <c r="AD64" s="194" t="s">
        <v>225</v>
      </c>
      <c r="AE64" s="201"/>
      <c r="AF64" s="201"/>
      <c r="AG64" s="6"/>
      <c r="AH64" s="6"/>
      <c r="AI64" s="6"/>
      <c r="AJ64" s="6"/>
      <c r="AK64" s="6"/>
      <c r="AL64" s="6"/>
      <c r="AM64" s="6"/>
      <c r="AN64" s="6"/>
      <c r="AO64" s="6"/>
      <c r="AP64" s="6"/>
      <c r="AQ64" s="6"/>
      <c r="AR64" s="6"/>
      <c r="AS64" s="6"/>
      <c r="AT64" s="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row>
    <row r="65" spans="2:81" s="26" customFormat="1" ht="13">
      <c r="B65" s="34"/>
      <c r="C65" s="80"/>
      <c r="D65" s="80"/>
      <c r="E65" s="364"/>
      <c r="F65" s="365"/>
      <c r="G65" s="365"/>
      <c r="H65" s="365"/>
      <c r="I65" s="365"/>
      <c r="J65" s="365"/>
      <c r="K65" s="365"/>
      <c r="L65" s="366"/>
      <c r="M65" s="179"/>
      <c r="N65" s="179"/>
      <c r="O65" s="179"/>
      <c r="P65" s="179"/>
      <c r="Q65" s="179"/>
      <c r="R65" s="179"/>
      <c r="S65" s="179"/>
      <c r="T65" s="179"/>
      <c r="U65" s="179"/>
      <c r="V65" s="179"/>
      <c r="W65" s="58"/>
      <c r="X65" s="6"/>
      <c r="Y65" s="6"/>
      <c r="Z65" s="6"/>
      <c r="AA65" s="6"/>
      <c r="AB65" s="6"/>
      <c r="AC65" s="6"/>
      <c r="AD65" s="194" t="s">
        <v>170</v>
      </c>
      <c r="AE65" s="201"/>
      <c r="AF65" s="201"/>
      <c r="AG65" s="6"/>
      <c r="AH65" s="6"/>
      <c r="AI65" s="6"/>
      <c r="AJ65" s="6"/>
      <c r="AK65" s="6"/>
      <c r="AL65" s="6"/>
      <c r="AM65" s="6"/>
      <c r="AN65" s="6"/>
      <c r="AO65" s="6"/>
      <c r="AP65" s="6"/>
      <c r="AQ65" s="6"/>
      <c r="AR65" s="6"/>
      <c r="AS65" s="6"/>
      <c r="AT65" s="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row>
    <row r="66" spans="2:81" s="26" customFormat="1" ht="15.75" customHeight="1" thickBot="1">
      <c r="B66" s="34"/>
      <c r="C66" s="30"/>
      <c r="D66" s="31"/>
      <c r="E66" s="367"/>
      <c r="F66" s="368"/>
      <c r="G66" s="368"/>
      <c r="H66" s="368"/>
      <c r="I66" s="368"/>
      <c r="J66" s="368"/>
      <c r="K66" s="368"/>
      <c r="L66" s="369"/>
      <c r="M66" s="179"/>
      <c r="N66" s="179"/>
      <c r="O66" s="179"/>
      <c r="P66" s="179"/>
      <c r="Q66" s="179"/>
      <c r="R66" s="179"/>
      <c r="S66" s="179"/>
      <c r="T66" s="179"/>
      <c r="U66" s="179"/>
      <c r="V66" s="179"/>
      <c r="W66" s="28"/>
      <c r="X66" s="6"/>
      <c r="Y66" s="6"/>
      <c r="Z66" s="6"/>
      <c r="AA66" s="6"/>
      <c r="AB66" s="6"/>
      <c r="AC66" s="123"/>
      <c r="AD66" s="194" t="s">
        <v>107</v>
      </c>
      <c r="AE66" s="201"/>
      <c r="AF66" s="201"/>
      <c r="AG66" s="6"/>
      <c r="AH66" s="6"/>
      <c r="AI66" s="6"/>
      <c r="AJ66" s="6"/>
      <c r="AK66" s="6"/>
      <c r="AL66" s="123"/>
      <c r="AM66" s="123"/>
      <c r="AN66" s="123"/>
      <c r="AO66" s="123"/>
      <c r="AP66" s="123"/>
      <c r="AQ66" s="123"/>
      <c r="AR66" s="123"/>
      <c r="AS66" s="123"/>
      <c r="AT66" s="123"/>
      <c r="AU66" s="22"/>
      <c r="AV66" s="22"/>
      <c r="AW66" s="22"/>
      <c r="AX66" s="22"/>
      <c r="AY66" s="22"/>
      <c r="AZ66" s="22"/>
      <c r="BA66" s="22"/>
      <c r="BB66" s="22"/>
      <c r="BC66" s="22"/>
      <c r="BD66" s="22"/>
      <c r="BE66" s="22"/>
      <c r="BF66" s="22"/>
      <c r="BG66" s="22"/>
      <c r="BH66" s="22"/>
      <c r="BI66" s="22"/>
      <c r="BJ66" s="22"/>
      <c r="BK66" s="22"/>
      <c r="BL66" s="22"/>
      <c r="BM66" s="22"/>
      <c r="BN66" s="22"/>
      <c r="BO66" s="22"/>
      <c r="BP66" s="22"/>
      <c r="BQ66" s="22"/>
      <c r="BR66" s="22"/>
      <c r="BS66" s="22"/>
      <c r="BT66" s="22"/>
      <c r="BU66" s="22"/>
      <c r="BV66" s="22"/>
      <c r="BW66" s="22"/>
      <c r="BX66" s="22"/>
      <c r="BY66" s="22"/>
      <c r="BZ66" s="22"/>
      <c r="CA66" s="22"/>
      <c r="CB66" s="22"/>
      <c r="CC66" s="22"/>
    </row>
    <row r="67" spans="2:81" s="22" customFormat="1" ht="13" thickBot="1">
      <c r="B67" s="181"/>
      <c r="C67" s="182"/>
      <c r="D67" s="182"/>
      <c r="E67" s="182"/>
      <c r="F67" s="182"/>
      <c r="G67" s="182"/>
      <c r="H67" s="182"/>
      <c r="I67" s="182"/>
      <c r="J67" s="182"/>
      <c r="K67" s="182"/>
      <c r="L67" s="182"/>
      <c r="M67" s="182"/>
      <c r="N67" s="182"/>
      <c r="O67" s="182"/>
      <c r="P67" s="182"/>
      <c r="Q67" s="182"/>
      <c r="R67" s="182"/>
      <c r="S67" s="182"/>
      <c r="T67" s="182"/>
      <c r="U67" s="182"/>
      <c r="V67" s="182"/>
      <c r="W67" s="183"/>
      <c r="X67" s="123"/>
      <c r="Y67" s="123"/>
      <c r="Z67" s="123"/>
      <c r="AA67" s="123"/>
      <c r="AB67" s="123"/>
      <c r="AC67" s="123"/>
      <c r="AD67" s="219" t="s">
        <v>221</v>
      </c>
      <c r="AE67" s="201"/>
      <c r="AF67" s="201"/>
      <c r="AG67" s="123"/>
      <c r="AH67" s="123"/>
      <c r="AI67" s="123"/>
      <c r="AJ67" s="123"/>
      <c r="AK67" s="123"/>
      <c r="AL67" s="123"/>
      <c r="AM67" s="123"/>
      <c r="AN67" s="123"/>
      <c r="AO67" s="123"/>
      <c r="AP67" s="123"/>
      <c r="AQ67" s="123"/>
      <c r="AR67" s="123"/>
      <c r="AS67" s="123"/>
      <c r="AT67" s="123"/>
    </row>
    <row r="68" spans="2:81" s="22" customFormat="1" ht="15" customHeight="1">
      <c r="C68" s="120"/>
      <c r="D68" s="120"/>
      <c r="E68" s="120"/>
      <c r="F68" s="121"/>
      <c r="G68" s="121"/>
      <c r="H68" s="121"/>
      <c r="I68" s="121"/>
      <c r="J68" s="121"/>
      <c r="K68" s="121"/>
      <c r="L68" s="121"/>
      <c r="M68" s="121"/>
      <c r="N68" s="121"/>
      <c r="O68" s="121"/>
      <c r="P68" s="121"/>
      <c r="Q68" s="277"/>
      <c r="R68" s="277"/>
      <c r="S68" s="277"/>
      <c r="T68" s="277"/>
      <c r="U68" s="277"/>
      <c r="V68" s="277"/>
      <c r="W68" s="122"/>
      <c r="X68" s="123"/>
      <c r="Y68" s="123"/>
      <c r="Z68" s="123"/>
      <c r="AA68" s="123"/>
      <c r="AB68" s="123"/>
      <c r="AC68" s="123"/>
      <c r="AD68" s="219" t="s">
        <v>222</v>
      </c>
      <c r="AE68" s="201"/>
      <c r="AF68" s="201"/>
      <c r="AG68" s="123"/>
      <c r="AH68" s="123"/>
      <c r="AI68" s="123"/>
      <c r="AJ68" s="123"/>
      <c r="AK68" s="123"/>
      <c r="AL68" s="123"/>
      <c r="AM68" s="123"/>
      <c r="AN68" s="123"/>
      <c r="AO68" s="123"/>
      <c r="AP68" s="123"/>
      <c r="AQ68" s="123"/>
      <c r="AR68" s="123"/>
      <c r="AS68" s="123"/>
      <c r="AT68" s="123"/>
    </row>
    <row r="69" spans="2:81" s="22" customFormat="1">
      <c r="C69" s="123"/>
      <c r="D69" s="123"/>
      <c r="E69" s="123"/>
      <c r="F69" s="123"/>
      <c r="G69" s="123"/>
      <c r="H69" s="123"/>
      <c r="I69" s="123"/>
      <c r="J69" s="123"/>
      <c r="K69" s="123"/>
      <c r="L69" s="123"/>
      <c r="M69" s="123"/>
      <c r="N69" s="123"/>
      <c r="O69" s="123"/>
      <c r="P69" s="123"/>
      <c r="Q69" s="123"/>
      <c r="R69" s="123"/>
      <c r="S69" s="123"/>
      <c r="T69" s="123"/>
      <c r="U69" s="123"/>
      <c r="V69" s="123"/>
      <c r="W69" s="123"/>
      <c r="X69" s="123"/>
      <c r="Y69" s="123"/>
      <c r="Z69" s="123"/>
      <c r="AA69" s="123"/>
      <c r="AB69" s="123"/>
      <c r="AC69" s="123"/>
      <c r="AD69" s="219" t="s">
        <v>224</v>
      </c>
      <c r="AE69" s="201"/>
      <c r="AF69" s="201"/>
      <c r="AG69" s="123"/>
      <c r="AH69" s="123"/>
      <c r="AI69" s="123"/>
      <c r="AJ69" s="123"/>
      <c r="AK69" s="123"/>
      <c r="AL69" s="123"/>
      <c r="AM69" s="123"/>
      <c r="AN69" s="123"/>
      <c r="AO69" s="123"/>
      <c r="AP69" s="123"/>
      <c r="AQ69" s="123"/>
      <c r="AR69" s="123"/>
      <c r="AS69" s="123"/>
      <c r="AT69" s="123"/>
    </row>
    <row r="70" spans="2:81" s="22" customFormat="1" ht="13">
      <c r="C70" s="272"/>
      <c r="D70" s="272"/>
      <c r="E70" s="272"/>
      <c r="F70" s="272"/>
      <c r="G70" s="272"/>
      <c r="H70" s="272"/>
      <c r="I70" s="272"/>
      <c r="J70" s="272"/>
      <c r="K70" s="272"/>
      <c r="L70" s="272"/>
      <c r="M70" s="272"/>
      <c r="N70" s="272"/>
      <c r="O70" s="272"/>
      <c r="P70" s="272"/>
      <c r="Q70" s="123"/>
      <c r="R70" s="123"/>
      <c r="S70" s="123"/>
      <c r="T70" s="123"/>
      <c r="U70" s="123"/>
      <c r="V70" s="123"/>
      <c r="W70" s="123"/>
      <c r="X70" s="123"/>
      <c r="Y70" s="123"/>
      <c r="Z70" s="123"/>
      <c r="AA70" s="123"/>
      <c r="AB70" s="123"/>
      <c r="AC70" s="123"/>
      <c r="AD70" s="194" t="s">
        <v>159</v>
      </c>
      <c r="AE70" s="201"/>
      <c r="AF70" s="201"/>
      <c r="AG70" s="123"/>
      <c r="AH70" s="123"/>
      <c r="AI70" s="123"/>
      <c r="AJ70" s="123"/>
      <c r="AK70" s="123"/>
      <c r="AL70" s="123"/>
      <c r="AM70" s="123"/>
      <c r="AN70" s="123"/>
      <c r="AO70" s="123"/>
      <c r="AP70" s="123"/>
      <c r="AQ70" s="123"/>
      <c r="AR70" s="123"/>
      <c r="AS70" s="123"/>
      <c r="AT70" s="123"/>
    </row>
    <row r="71" spans="2:81" s="22" customFormat="1">
      <c r="C71" s="123"/>
      <c r="D71" s="123"/>
      <c r="E71" s="123"/>
      <c r="F71" s="123"/>
      <c r="G71" s="123"/>
      <c r="H71" s="123"/>
      <c r="I71" s="123"/>
      <c r="J71" s="123"/>
      <c r="K71" s="123"/>
      <c r="L71" s="123"/>
      <c r="M71" s="123"/>
      <c r="N71" s="123"/>
      <c r="O71" s="123"/>
      <c r="P71" s="123"/>
      <c r="Q71" s="123"/>
      <c r="R71" s="123"/>
      <c r="S71" s="123"/>
      <c r="T71" s="123"/>
      <c r="U71" s="123"/>
      <c r="V71" s="123"/>
      <c r="W71" s="123"/>
      <c r="X71" s="123"/>
      <c r="Y71" s="123"/>
      <c r="Z71" s="123"/>
      <c r="AA71" s="123"/>
      <c r="AB71" s="123"/>
      <c r="AC71" s="123"/>
      <c r="AD71" s="252" t="s">
        <v>206</v>
      </c>
      <c r="AE71" s="201"/>
      <c r="AF71" s="201"/>
      <c r="AG71" s="123"/>
      <c r="AH71" s="123"/>
      <c r="AI71" s="123"/>
      <c r="AJ71" s="123"/>
      <c r="AK71" s="123"/>
      <c r="AL71" s="123"/>
      <c r="AM71" s="123"/>
      <c r="AN71" s="123"/>
      <c r="AO71" s="123"/>
      <c r="AP71" s="123"/>
      <c r="AQ71" s="123"/>
      <c r="AR71" s="123"/>
      <c r="AS71" s="123"/>
      <c r="AT71" s="123"/>
    </row>
    <row r="72" spans="2:81" s="22" customFormat="1">
      <c r="C72" s="123"/>
      <c r="D72" s="123"/>
      <c r="E72" s="123"/>
      <c r="F72" s="123"/>
      <c r="G72" s="123"/>
      <c r="H72" s="123"/>
      <c r="I72" s="123"/>
      <c r="J72" s="123"/>
      <c r="K72" s="123"/>
      <c r="L72" s="123"/>
      <c r="M72" s="123"/>
      <c r="N72" s="123"/>
      <c r="O72" s="123"/>
      <c r="P72" s="123"/>
      <c r="Q72" s="123"/>
      <c r="R72" s="123"/>
      <c r="S72" s="123"/>
      <c r="T72" s="123"/>
      <c r="U72" s="123"/>
      <c r="V72" s="123"/>
      <c r="W72" s="123"/>
      <c r="X72" s="123"/>
      <c r="Y72" s="123"/>
      <c r="Z72" s="123"/>
      <c r="AA72" s="123"/>
      <c r="AB72" s="123"/>
      <c r="AC72" s="123"/>
      <c r="AD72" s="194" t="s">
        <v>122</v>
      </c>
      <c r="AE72" s="201"/>
      <c r="AF72" s="201"/>
      <c r="AG72" s="123"/>
      <c r="AH72" s="123"/>
      <c r="AI72" s="123"/>
      <c r="AJ72" s="123"/>
      <c r="AK72" s="123"/>
      <c r="AL72" s="123"/>
      <c r="AM72" s="123"/>
      <c r="AN72" s="123"/>
      <c r="AO72" s="123"/>
      <c r="AP72" s="123"/>
      <c r="AQ72" s="123"/>
      <c r="AR72" s="123"/>
      <c r="AS72" s="123"/>
      <c r="AT72" s="123"/>
    </row>
    <row r="73" spans="2:81" s="22" customFormat="1">
      <c r="C73" s="123"/>
      <c r="D73" s="123"/>
      <c r="E73" s="123"/>
      <c r="F73" s="123"/>
      <c r="G73" s="123"/>
      <c r="H73" s="123"/>
      <c r="I73" s="123"/>
      <c r="J73" s="123"/>
      <c r="K73" s="123"/>
      <c r="L73" s="123"/>
      <c r="M73" s="123"/>
      <c r="N73" s="123"/>
      <c r="O73" s="123"/>
      <c r="P73" s="123"/>
      <c r="Q73" s="123"/>
      <c r="R73" s="123"/>
      <c r="S73" s="123"/>
      <c r="T73" s="123"/>
      <c r="U73" s="123"/>
      <c r="V73" s="123"/>
      <c r="W73" s="123"/>
      <c r="X73" s="123"/>
      <c r="Y73" s="123"/>
      <c r="Z73" s="123"/>
      <c r="AA73" s="123"/>
      <c r="AB73" s="123"/>
      <c r="AC73" s="123"/>
      <c r="AD73" s="194" t="s">
        <v>126</v>
      </c>
      <c r="AE73" s="201"/>
      <c r="AF73" s="201"/>
      <c r="AG73" s="123"/>
      <c r="AH73" s="123"/>
      <c r="AI73" s="123"/>
      <c r="AJ73" s="123"/>
      <c r="AK73" s="123"/>
      <c r="AL73" s="123"/>
      <c r="AM73" s="123"/>
      <c r="AN73" s="123"/>
      <c r="AO73" s="123"/>
      <c r="AP73" s="123"/>
      <c r="AQ73" s="123"/>
      <c r="AR73" s="123"/>
      <c r="AS73" s="123"/>
      <c r="AT73" s="123"/>
    </row>
    <row r="74" spans="2:81" s="22" customFormat="1">
      <c r="C74" s="123"/>
      <c r="D74" s="123"/>
      <c r="E74" s="123"/>
      <c r="F74" s="123"/>
      <c r="G74" s="123"/>
      <c r="H74" s="123"/>
      <c r="I74" s="123"/>
      <c r="J74" s="123"/>
      <c r="K74" s="123"/>
      <c r="L74" s="123"/>
      <c r="M74" s="123"/>
      <c r="N74" s="123"/>
      <c r="O74" s="123"/>
      <c r="P74" s="123"/>
      <c r="Q74" s="123"/>
      <c r="R74" s="123"/>
      <c r="S74" s="123"/>
      <c r="T74" s="123"/>
      <c r="U74" s="123"/>
      <c r="V74" s="123"/>
      <c r="W74" s="123"/>
      <c r="X74" s="123"/>
      <c r="Y74" s="123"/>
      <c r="Z74" s="123"/>
      <c r="AA74" s="123"/>
      <c r="AB74" s="123"/>
      <c r="AC74" s="123"/>
      <c r="AD74" s="194" t="s">
        <v>130</v>
      </c>
      <c r="AE74" s="201"/>
      <c r="AF74" s="201"/>
      <c r="AG74" s="123"/>
      <c r="AH74" s="123"/>
      <c r="AI74" s="123"/>
      <c r="AJ74" s="123"/>
      <c r="AK74" s="123"/>
      <c r="AL74" s="123"/>
      <c r="AM74" s="123"/>
      <c r="AN74" s="123"/>
      <c r="AO74" s="123"/>
      <c r="AP74" s="123"/>
      <c r="AQ74" s="123"/>
      <c r="AR74" s="123"/>
      <c r="AS74" s="123"/>
      <c r="AT74" s="123"/>
    </row>
    <row r="75" spans="2:81" s="22" customFormat="1">
      <c r="C75" s="123"/>
      <c r="D75" s="123"/>
      <c r="E75" s="123"/>
      <c r="F75" s="123"/>
      <c r="G75" s="123"/>
      <c r="H75" s="123"/>
      <c r="I75" s="123"/>
      <c r="J75" s="123"/>
      <c r="K75" s="123"/>
      <c r="L75" s="123"/>
      <c r="M75" s="123"/>
      <c r="N75" s="123"/>
      <c r="O75" s="123"/>
      <c r="P75" s="123"/>
      <c r="Q75" s="123"/>
      <c r="R75" s="123"/>
      <c r="S75" s="123"/>
      <c r="T75" s="123"/>
      <c r="U75" s="123"/>
      <c r="V75" s="123"/>
      <c r="W75" s="123"/>
      <c r="X75" s="123"/>
      <c r="Y75" s="123"/>
      <c r="Z75" s="123"/>
      <c r="AA75" s="123"/>
      <c r="AB75" s="123"/>
      <c r="AC75" s="123"/>
      <c r="AD75" s="194" t="s">
        <v>187</v>
      </c>
      <c r="AE75" s="201"/>
      <c r="AF75" s="201"/>
      <c r="AG75" s="123"/>
      <c r="AH75" s="123"/>
      <c r="AI75" s="123"/>
      <c r="AJ75" s="123"/>
      <c r="AK75" s="123"/>
      <c r="AL75" s="123"/>
      <c r="AM75" s="123"/>
      <c r="AN75" s="123"/>
      <c r="AO75" s="123"/>
      <c r="AP75" s="123"/>
      <c r="AQ75" s="123"/>
      <c r="AR75" s="123"/>
      <c r="AS75" s="123"/>
      <c r="AT75" s="123"/>
    </row>
    <row r="76" spans="2:81" s="184" customFormat="1">
      <c r="C76" s="123"/>
      <c r="D76" s="123"/>
      <c r="E76" s="123"/>
      <c r="F76" s="123"/>
      <c r="G76" s="123"/>
      <c r="H76" s="123"/>
      <c r="I76" s="123"/>
      <c r="J76" s="123"/>
      <c r="K76" s="123"/>
      <c r="L76" s="123"/>
      <c r="M76" s="123"/>
      <c r="N76" s="123"/>
      <c r="O76" s="123"/>
      <c r="P76" s="123"/>
      <c r="Q76" s="123"/>
      <c r="R76" s="123"/>
      <c r="S76" s="123"/>
      <c r="T76" s="123"/>
      <c r="U76" s="123"/>
      <c r="V76" s="123"/>
      <c r="W76" s="123"/>
      <c r="X76" s="123"/>
      <c r="Y76" s="123"/>
      <c r="Z76" s="123"/>
      <c r="AA76" s="123"/>
      <c r="AB76" s="123"/>
      <c r="AC76" s="123"/>
      <c r="AD76" s="263"/>
      <c r="AE76" s="201"/>
      <c r="AF76" s="201"/>
      <c r="AG76" s="123"/>
      <c r="AH76" s="123"/>
      <c r="AI76" s="123"/>
      <c r="AJ76" s="123"/>
      <c r="AK76" s="123"/>
      <c r="AL76" s="123"/>
      <c r="AM76" s="123"/>
      <c r="AN76" s="123"/>
      <c r="AO76" s="123"/>
      <c r="AP76" s="123"/>
      <c r="AQ76" s="123"/>
      <c r="AR76" s="123"/>
      <c r="AS76" s="123"/>
      <c r="AT76" s="123"/>
      <c r="AU76" s="123"/>
      <c r="AV76" s="123"/>
      <c r="AW76" s="123"/>
      <c r="AX76" s="123"/>
      <c r="AY76" s="123"/>
      <c r="AZ76" s="123"/>
      <c r="BA76" s="123"/>
      <c r="BB76" s="123"/>
      <c r="BC76" s="123"/>
      <c r="BD76" s="123"/>
      <c r="BE76" s="123"/>
      <c r="BF76" s="123"/>
      <c r="BG76" s="123"/>
      <c r="BH76" s="123"/>
      <c r="BI76" s="123"/>
      <c r="BJ76" s="123"/>
      <c r="BK76" s="123"/>
      <c r="BL76" s="123"/>
      <c r="BM76" s="123"/>
      <c r="BN76" s="123"/>
      <c r="BO76" s="123"/>
      <c r="BP76" s="123"/>
      <c r="BQ76" s="123"/>
      <c r="BR76" s="123"/>
      <c r="BS76" s="123"/>
      <c r="BT76" s="123"/>
      <c r="BU76" s="123"/>
      <c r="BV76" s="123"/>
      <c r="BW76" s="123"/>
      <c r="BX76" s="123"/>
      <c r="BY76" s="123"/>
      <c r="BZ76" s="123"/>
      <c r="CA76" s="123"/>
      <c r="CB76" s="123"/>
      <c r="CC76" s="123"/>
    </row>
    <row r="77" spans="2:81" s="184" customFormat="1" ht="4" customHeight="1">
      <c r="C77" s="123"/>
      <c r="D77" s="123"/>
      <c r="E77" s="123"/>
      <c r="F77" s="123"/>
      <c r="G77" s="123"/>
      <c r="H77" s="123"/>
      <c r="I77" s="123"/>
      <c r="J77" s="123"/>
      <c r="K77" s="123"/>
      <c r="L77" s="123"/>
      <c r="M77" s="123"/>
      <c r="N77" s="123"/>
      <c r="O77" s="123"/>
      <c r="P77" s="123"/>
      <c r="Q77" s="123"/>
      <c r="R77" s="123"/>
      <c r="S77" s="123"/>
      <c r="T77" s="123"/>
      <c r="U77" s="123"/>
      <c r="V77" s="123"/>
      <c r="W77" s="123"/>
      <c r="X77" s="123"/>
      <c r="Y77" s="123"/>
      <c r="Z77" s="123"/>
      <c r="AA77" s="123"/>
      <c r="AB77" s="123"/>
      <c r="AC77" s="123"/>
      <c r="AD77" s="201"/>
      <c r="AE77" s="201"/>
      <c r="AF77" s="201"/>
      <c r="AG77" s="123"/>
      <c r="AH77" s="123"/>
      <c r="AI77" s="123"/>
      <c r="AJ77" s="123"/>
      <c r="AK77" s="123"/>
      <c r="AL77" s="123"/>
      <c r="AM77" s="123"/>
      <c r="AN77" s="123"/>
      <c r="AO77" s="123"/>
      <c r="AP77" s="123"/>
      <c r="AQ77" s="123"/>
      <c r="AR77" s="123"/>
      <c r="AS77" s="123"/>
      <c r="AT77" s="123"/>
      <c r="AU77" s="123"/>
      <c r="AV77" s="123"/>
      <c r="AW77" s="123"/>
      <c r="AX77" s="123"/>
      <c r="AY77" s="123"/>
      <c r="AZ77" s="123"/>
      <c r="BA77" s="123"/>
      <c r="BB77" s="123"/>
      <c r="BC77" s="123"/>
      <c r="BD77" s="123"/>
      <c r="BE77" s="123"/>
      <c r="BF77" s="123"/>
      <c r="BG77" s="123"/>
      <c r="BH77" s="123"/>
      <c r="BI77" s="123"/>
      <c r="BJ77" s="123"/>
      <c r="BK77" s="123"/>
      <c r="BL77" s="123"/>
      <c r="BM77" s="123"/>
      <c r="BN77" s="123"/>
      <c r="BO77" s="123"/>
      <c r="BP77" s="123"/>
      <c r="BQ77" s="123"/>
      <c r="BR77" s="123"/>
      <c r="BS77" s="123"/>
      <c r="BT77" s="123"/>
      <c r="BU77" s="123"/>
      <c r="BV77" s="123"/>
      <c r="BW77" s="123"/>
      <c r="BX77" s="123"/>
      <c r="BY77" s="123"/>
      <c r="BZ77" s="123"/>
      <c r="CA77" s="123"/>
      <c r="CB77" s="123"/>
      <c r="CC77" s="123"/>
    </row>
    <row r="78" spans="2:81" s="184" customFormat="1">
      <c r="C78" s="123"/>
      <c r="D78" s="123"/>
      <c r="E78" s="123"/>
      <c r="F78" s="123"/>
      <c r="G78" s="123"/>
      <c r="H78" s="123"/>
      <c r="I78" s="123"/>
      <c r="J78" s="123"/>
      <c r="K78" s="123"/>
      <c r="L78" s="123"/>
      <c r="M78" s="123"/>
      <c r="N78" s="123"/>
      <c r="O78" s="123"/>
      <c r="P78" s="123"/>
      <c r="Q78" s="123"/>
      <c r="R78" s="123"/>
      <c r="S78" s="123"/>
      <c r="T78" s="123"/>
      <c r="U78" s="123"/>
      <c r="V78" s="123"/>
      <c r="W78" s="123"/>
      <c r="X78" s="123"/>
      <c r="Y78" s="123"/>
      <c r="Z78" s="123"/>
      <c r="AA78" s="123"/>
      <c r="AB78" s="123"/>
      <c r="AC78" s="123"/>
      <c r="AD78" s="201"/>
      <c r="AE78" s="201"/>
      <c r="AF78" s="201"/>
      <c r="AG78" s="123"/>
      <c r="AH78" s="123"/>
      <c r="AI78" s="123"/>
      <c r="AJ78" s="123"/>
      <c r="AK78" s="123"/>
      <c r="AL78" s="123"/>
      <c r="AM78" s="123"/>
      <c r="AN78" s="123"/>
      <c r="AO78" s="123"/>
      <c r="AP78" s="123"/>
      <c r="AQ78" s="123"/>
      <c r="AR78" s="123"/>
      <c r="AS78" s="123"/>
      <c r="AT78" s="123"/>
      <c r="AU78" s="123"/>
      <c r="AV78" s="123"/>
      <c r="AW78" s="123"/>
      <c r="AX78" s="123"/>
      <c r="AY78" s="123"/>
      <c r="AZ78" s="123"/>
      <c r="BA78" s="123"/>
      <c r="BB78" s="123"/>
      <c r="BC78" s="123"/>
      <c r="BD78" s="123"/>
      <c r="BE78" s="123"/>
      <c r="BF78" s="123"/>
      <c r="BG78" s="123"/>
      <c r="BH78" s="123"/>
      <c r="BI78" s="123"/>
      <c r="BJ78" s="123"/>
      <c r="BK78" s="123"/>
      <c r="BL78" s="123"/>
      <c r="BM78" s="123"/>
      <c r="BN78" s="123"/>
      <c r="BO78" s="123"/>
      <c r="BP78" s="123"/>
      <c r="BQ78" s="123"/>
      <c r="BR78" s="123"/>
      <c r="BS78" s="123"/>
      <c r="BT78" s="123"/>
      <c r="BU78" s="123"/>
      <c r="BV78" s="123"/>
      <c r="BW78" s="123"/>
      <c r="BX78" s="123"/>
      <c r="BY78" s="123"/>
      <c r="BZ78" s="123"/>
      <c r="CA78" s="123"/>
      <c r="CB78" s="123"/>
      <c r="CC78" s="123"/>
    </row>
    <row r="79" spans="2:81" s="184" customFormat="1">
      <c r="C79" s="123"/>
      <c r="D79" s="123"/>
      <c r="E79" s="123"/>
      <c r="F79" s="123"/>
      <c r="G79" s="123"/>
      <c r="H79" s="123"/>
      <c r="I79" s="123"/>
      <c r="J79" s="123"/>
      <c r="K79" s="123"/>
      <c r="L79" s="123"/>
      <c r="M79" s="123"/>
      <c r="N79" s="123"/>
      <c r="O79" s="123"/>
      <c r="P79" s="123"/>
      <c r="Q79" s="123"/>
      <c r="R79" s="123"/>
      <c r="S79" s="123"/>
      <c r="T79" s="123"/>
      <c r="U79" s="123"/>
      <c r="V79" s="123"/>
      <c r="W79" s="123"/>
      <c r="X79" s="123"/>
      <c r="Y79" s="123"/>
      <c r="Z79" s="123"/>
      <c r="AA79" s="123"/>
      <c r="AB79" s="123"/>
      <c r="AC79" s="123"/>
      <c r="AD79" s="201"/>
      <c r="AE79" s="201"/>
      <c r="AF79" s="201"/>
      <c r="AG79" s="123"/>
      <c r="AH79" s="123"/>
      <c r="AI79" s="123"/>
      <c r="AJ79" s="123"/>
      <c r="AK79" s="123"/>
      <c r="AL79" s="123"/>
      <c r="AM79" s="123"/>
      <c r="AN79" s="123"/>
      <c r="AO79" s="123"/>
      <c r="AP79" s="123"/>
      <c r="AQ79" s="123"/>
      <c r="AR79" s="123"/>
      <c r="AS79" s="123"/>
      <c r="AT79" s="123"/>
      <c r="AU79" s="123"/>
      <c r="AV79" s="123"/>
      <c r="AW79" s="123"/>
      <c r="AX79" s="123"/>
      <c r="AY79" s="123"/>
      <c r="AZ79" s="123"/>
      <c r="BA79" s="123"/>
      <c r="BB79" s="123"/>
      <c r="BC79" s="123"/>
      <c r="BD79" s="123"/>
      <c r="BE79" s="123"/>
      <c r="BF79" s="123"/>
      <c r="BG79" s="123"/>
      <c r="BH79" s="123"/>
      <c r="BI79" s="123"/>
      <c r="BJ79" s="123"/>
      <c r="BK79" s="123"/>
      <c r="BL79" s="123"/>
      <c r="BM79" s="123"/>
      <c r="BN79" s="123"/>
      <c r="BO79" s="123"/>
      <c r="BP79" s="123"/>
      <c r="BQ79" s="123"/>
      <c r="BR79" s="123"/>
      <c r="BS79" s="123"/>
      <c r="BT79" s="123"/>
      <c r="BU79" s="123"/>
      <c r="BV79" s="123"/>
      <c r="BW79" s="123"/>
      <c r="BX79" s="123"/>
      <c r="BY79" s="123"/>
      <c r="BZ79" s="123"/>
      <c r="CA79" s="123"/>
      <c r="CB79" s="123"/>
      <c r="CC79" s="123"/>
    </row>
    <row r="80" spans="2:81" s="184" customFormat="1">
      <c r="C80" s="123"/>
      <c r="D80" s="123"/>
      <c r="E80" s="123"/>
      <c r="F80" s="123"/>
      <c r="G80" s="123"/>
      <c r="H80" s="123"/>
      <c r="I80" s="123"/>
      <c r="J80" s="123"/>
      <c r="K80" s="123"/>
      <c r="L80" s="123"/>
      <c r="M80" s="123"/>
      <c r="N80" s="123"/>
      <c r="O80" s="123"/>
      <c r="P80" s="123"/>
      <c r="Q80" s="123"/>
      <c r="R80" s="123"/>
      <c r="S80" s="123"/>
      <c r="T80" s="123"/>
      <c r="U80" s="123"/>
      <c r="V80" s="123"/>
      <c r="W80" s="123"/>
      <c r="X80" s="123"/>
      <c r="Y80" s="123"/>
      <c r="Z80" s="123"/>
      <c r="AA80" s="123"/>
      <c r="AB80" s="123"/>
      <c r="AC80" s="123"/>
      <c r="AD80" s="201"/>
      <c r="AE80" s="201"/>
      <c r="AF80" s="201"/>
      <c r="AG80" s="123"/>
      <c r="AH80" s="123"/>
      <c r="AI80" s="123"/>
      <c r="AJ80" s="123"/>
      <c r="AK80" s="123"/>
      <c r="AL80" s="123"/>
      <c r="AM80" s="123"/>
      <c r="AN80" s="123"/>
      <c r="AO80" s="123"/>
      <c r="AP80" s="123"/>
      <c r="AQ80" s="123"/>
      <c r="AR80" s="123"/>
      <c r="AS80" s="123"/>
      <c r="AT80" s="123"/>
      <c r="AU80" s="123"/>
      <c r="AV80" s="123"/>
      <c r="AW80" s="123"/>
      <c r="AX80" s="123"/>
      <c r="AY80" s="123"/>
      <c r="AZ80" s="123"/>
      <c r="BA80" s="123"/>
      <c r="BB80" s="123"/>
      <c r="BC80" s="123"/>
      <c r="BD80" s="123"/>
      <c r="BE80" s="123"/>
      <c r="BF80" s="123"/>
      <c r="BG80" s="123"/>
      <c r="BH80" s="123"/>
      <c r="BI80" s="123"/>
      <c r="BJ80" s="123"/>
      <c r="BK80" s="123"/>
      <c r="BL80" s="123"/>
      <c r="BM80" s="123"/>
      <c r="BN80" s="123"/>
      <c r="BO80" s="123"/>
      <c r="BP80" s="123"/>
      <c r="BQ80" s="123"/>
      <c r="BR80" s="123"/>
      <c r="BS80" s="123"/>
      <c r="BT80" s="123"/>
      <c r="BU80" s="123"/>
      <c r="BV80" s="123"/>
      <c r="BW80" s="123"/>
      <c r="BX80" s="123"/>
      <c r="BY80" s="123"/>
      <c r="BZ80" s="123"/>
      <c r="CA80" s="123"/>
      <c r="CB80" s="123"/>
      <c r="CC80" s="123"/>
    </row>
    <row r="81" spans="3:81" s="184" customFormat="1">
      <c r="C81" s="123"/>
      <c r="D81" s="123"/>
      <c r="E81" s="123"/>
      <c r="F81" s="123"/>
      <c r="G81" s="123"/>
      <c r="H81" s="123"/>
      <c r="I81" s="123"/>
      <c r="J81" s="123"/>
      <c r="K81" s="123"/>
      <c r="L81" s="123"/>
      <c r="M81" s="123"/>
      <c r="N81" s="123"/>
      <c r="O81" s="123"/>
      <c r="P81" s="123"/>
      <c r="Q81" s="123"/>
      <c r="R81" s="123"/>
      <c r="S81" s="123"/>
      <c r="T81" s="123"/>
      <c r="U81" s="123"/>
      <c r="V81" s="123"/>
      <c r="W81" s="123"/>
      <c r="X81" s="123"/>
      <c r="Y81" s="123"/>
      <c r="Z81" s="123"/>
      <c r="AA81" s="123"/>
      <c r="AB81" s="123"/>
      <c r="AC81" s="123"/>
      <c r="AD81" s="201"/>
      <c r="AE81" s="201"/>
      <c r="AF81" s="201"/>
      <c r="AG81" s="123"/>
      <c r="AH81" s="123"/>
      <c r="AI81" s="123"/>
      <c r="AJ81" s="123"/>
      <c r="AK81" s="123"/>
      <c r="AL81" s="123"/>
      <c r="AM81" s="123"/>
      <c r="AN81" s="123"/>
      <c r="AO81" s="123"/>
      <c r="AP81" s="123"/>
      <c r="AQ81" s="123"/>
      <c r="AR81" s="123"/>
      <c r="AS81" s="123"/>
      <c r="AT81" s="123"/>
      <c r="AU81" s="123"/>
      <c r="AV81" s="123"/>
      <c r="AW81" s="123"/>
      <c r="AX81" s="123"/>
      <c r="AY81" s="123"/>
      <c r="AZ81" s="123"/>
      <c r="BA81" s="123"/>
      <c r="BB81" s="123"/>
      <c r="BC81" s="123"/>
      <c r="BD81" s="123"/>
      <c r="BE81" s="123"/>
      <c r="BF81" s="123"/>
      <c r="BG81" s="123"/>
      <c r="BH81" s="123"/>
      <c r="BI81" s="123"/>
      <c r="BJ81" s="123"/>
      <c r="BK81" s="123"/>
      <c r="BL81" s="123"/>
      <c r="BM81" s="123"/>
      <c r="BN81" s="123"/>
      <c r="BO81" s="123"/>
      <c r="BP81" s="123"/>
      <c r="BQ81" s="123"/>
      <c r="BR81" s="123"/>
      <c r="BS81" s="123"/>
      <c r="BT81" s="123"/>
      <c r="BU81" s="123"/>
      <c r="BV81" s="123"/>
      <c r="BW81" s="123"/>
      <c r="BX81" s="123"/>
      <c r="BY81" s="123"/>
      <c r="BZ81" s="123"/>
      <c r="CA81" s="123"/>
      <c r="CB81" s="123"/>
      <c r="CC81" s="123"/>
    </row>
    <row r="82" spans="3:81" s="184" customFormat="1">
      <c r="C82" s="123"/>
      <c r="D82" s="123"/>
      <c r="E82" s="123"/>
      <c r="F82" s="123"/>
      <c r="G82" s="123"/>
      <c r="H82" s="123"/>
      <c r="I82" s="123"/>
      <c r="J82" s="123"/>
      <c r="K82" s="123"/>
      <c r="L82" s="123"/>
      <c r="M82" s="123"/>
      <c r="N82" s="123"/>
      <c r="O82" s="123"/>
      <c r="P82" s="123"/>
      <c r="Q82" s="123"/>
      <c r="R82" s="123"/>
      <c r="S82" s="123"/>
      <c r="T82" s="123"/>
      <c r="U82" s="123"/>
      <c r="V82" s="123"/>
      <c r="W82" s="123"/>
      <c r="X82" s="123"/>
      <c r="Y82" s="123"/>
      <c r="Z82" s="123"/>
      <c r="AA82" s="123"/>
      <c r="AB82" s="123"/>
      <c r="AC82" s="123"/>
      <c r="AD82" s="201"/>
      <c r="AE82" s="201"/>
      <c r="AF82" s="201"/>
      <c r="AG82" s="123"/>
      <c r="AH82" s="123"/>
      <c r="AI82" s="123"/>
      <c r="AJ82" s="123"/>
      <c r="AK82" s="123"/>
      <c r="AL82" s="123"/>
      <c r="AM82" s="123"/>
      <c r="AN82" s="123"/>
      <c r="AO82" s="123"/>
      <c r="AP82" s="123"/>
      <c r="AQ82" s="123"/>
      <c r="AR82" s="123"/>
      <c r="AS82" s="123"/>
      <c r="AT82" s="123"/>
      <c r="AU82" s="123"/>
      <c r="AV82" s="123"/>
      <c r="AW82" s="123"/>
      <c r="AX82" s="123"/>
      <c r="AY82" s="123"/>
      <c r="AZ82" s="123"/>
      <c r="BA82" s="123"/>
      <c r="BB82" s="123"/>
      <c r="BC82" s="123"/>
      <c r="BD82" s="123"/>
      <c r="BE82" s="123"/>
      <c r="BF82" s="123"/>
      <c r="BG82" s="123"/>
      <c r="BH82" s="123"/>
      <c r="BI82" s="123"/>
      <c r="BJ82" s="123"/>
      <c r="BK82" s="123"/>
      <c r="BL82" s="123"/>
      <c r="BM82" s="123"/>
      <c r="BN82" s="123"/>
      <c r="BO82" s="123"/>
      <c r="BP82" s="123"/>
      <c r="BQ82" s="123"/>
      <c r="BR82" s="123"/>
      <c r="BS82" s="123"/>
      <c r="BT82" s="123"/>
      <c r="BU82" s="123"/>
      <c r="BV82" s="123"/>
      <c r="BW82" s="123"/>
      <c r="BX82" s="123"/>
      <c r="BY82" s="123"/>
      <c r="BZ82" s="123"/>
      <c r="CA82" s="123"/>
      <c r="CB82" s="123"/>
      <c r="CC82" s="123"/>
    </row>
    <row r="83" spans="3:81" s="184" customFormat="1">
      <c r="C83" s="123"/>
      <c r="D83" s="123"/>
      <c r="E83" s="123"/>
      <c r="F83" s="123"/>
      <c r="G83" s="123"/>
      <c r="H83" s="123"/>
      <c r="I83" s="123"/>
      <c r="J83" s="123"/>
      <c r="K83" s="123"/>
      <c r="L83" s="123"/>
      <c r="M83" s="123"/>
      <c r="N83" s="123"/>
      <c r="O83" s="123"/>
      <c r="P83" s="123"/>
      <c r="Q83" s="123"/>
      <c r="R83" s="123"/>
      <c r="S83" s="123"/>
      <c r="T83" s="123"/>
      <c r="U83" s="123"/>
      <c r="V83" s="123"/>
      <c r="W83" s="123"/>
      <c r="X83" s="123"/>
      <c r="Y83" s="123"/>
      <c r="Z83" s="123"/>
      <c r="AA83" s="123"/>
      <c r="AB83" s="123"/>
      <c r="AC83" s="123"/>
      <c r="AD83" s="201"/>
      <c r="AE83" s="201"/>
      <c r="AF83" s="201"/>
      <c r="AG83" s="123"/>
      <c r="AH83" s="123"/>
      <c r="AI83" s="123"/>
      <c r="AJ83" s="123"/>
      <c r="AK83" s="123"/>
      <c r="AL83" s="123"/>
      <c r="AM83" s="123"/>
      <c r="AN83" s="123"/>
      <c r="AO83" s="123"/>
      <c r="AP83" s="123"/>
      <c r="AQ83" s="123"/>
      <c r="AR83" s="123"/>
      <c r="AS83" s="123"/>
      <c r="AT83" s="123"/>
      <c r="AU83" s="123"/>
      <c r="AV83" s="123"/>
      <c r="AW83" s="123"/>
      <c r="AX83" s="123"/>
      <c r="AY83" s="123"/>
      <c r="AZ83" s="123"/>
      <c r="BA83" s="123"/>
      <c r="BB83" s="123"/>
      <c r="BC83" s="123"/>
      <c r="BD83" s="123"/>
      <c r="BE83" s="123"/>
      <c r="BF83" s="123"/>
      <c r="BG83" s="123"/>
      <c r="BH83" s="123"/>
      <c r="BI83" s="123"/>
      <c r="BJ83" s="123"/>
      <c r="BK83" s="123"/>
      <c r="BL83" s="123"/>
      <c r="BM83" s="123"/>
      <c r="BN83" s="123"/>
      <c r="BO83" s="123"/>
      <c r="BP83" s="123"/>
      <c r="BQ83" s="123"/>
      <c r="BR83" s="123"/>
      <c r="BS83" s="123"/>
      <c r="BT83" s="123"/>
      <c r="BU83" s="123"/>
      <c r="BV83" s="123"/>
      <c r="BW83" s="123"/>
      <c r="BX83" s="123"/>
      <c r="BY83" s="123"/>
      <c r="BZ83" s="123"/>
      <c r="CA83" s="123"/>
      <c r="CB83" s="123"/>
      <c r="CC83" s="123"/>
    </row>
    <row r="84" spans="3:81" s="184" customFormat="1">
      <c r="C84" s="123"/>
      <c r="D84" s="123"/>
      <c r="E84" s="123"/>
      <c r="F84" s="123"/>
      <c r="G84" s="123"/>
      <c r="H84" s="123"/>
      <c r="I84" s="123"/>
      <c r="J84" s="123"/>
      <c r="K84" s="123"/>
      <c r="L84" s="123"/>
      <c r="M84" s="123"/>
      <c r="N84" s="123"/>
      <c r="O84" s="123"/>
      <c r="P84" s="123"/>
      <c r="Q84" s="123"/>
      <c r="R84" s="123"/>
      <c r="S84" s="123"/>
      <c r="T84" s="123"/>
      <c r="U84" s="123"/>
      <c r="V84" s="123"/>
      <c r="W84" s="123"/>
      <c r="X84" s="123"/>
      <c r="Y84" s="123"/>
      <c r="Z84" s="123"/>
      <c r="AA84" s="123"/>
      <c r="AB84" s="123"/>
      <c r="AC84" s="123"/>
      <c r="AD84" s="201"/>
      <c r="AE84" s="201"/>
      <c r="AF84" s="201"/>
      <c r="AG84" s="123"/>
      <c r="AH84" s="123"/>
      <c r="AI84" s="123"/>
      <c r="AJ84" s="123"/>
      <c r="AK84" s="123"/>
      <c r="AL84" s="123"/>
      <c r="AM84" s="123"/>
      <c r="AN84" s="123"/>
      <c r="AO84" s="123"/>
      <c r="AP84" s="123"/>
      <c r="AQ84" s="123"/>
      <c r="AR84" s="123"/>
      <c r="AS84" s="123"/>
      <c r="AT84" s="123"/>
      <c r="AU84" s="123"/>
      <c r="AV84" s="123"/>
      <c r="AW84" s="123"/>
      <c r="AX84" s="123"/>
      <c r="AY84" s="123"/>
      <c r="AZ84" s="123"/>
      <c r="BA84" s="123"/>
      <c r="BB84" s="123"/>
      <c r="BC84" s="123"/>
      <c r="BD84" s="123"/>
      <c r="BE84" s="123"/>
      <c r="BF84" s="123"/>
      <c r="BG84" s="123"/>
      <c r="BH84" s="123"/>
      <c r="BI84" s="123"/>
      <c r="BJ84" s="123"/>
      <c r="BK84" s="123"/>
      <c r="BL84" s="123"/>
      <c r="BM84" s="123"/>
      <c r="BN84" s="123"/>
      <c r="BO84" s="123"/>
      <c r="BP84" s="123"/>
      <c r="BQ84" s="123"/>
      <c r="BR84" s="123"/>
      <c r="BS84" s="123"/>
      <c r="BT84" s="123"/>
      <c r="BU84" s="123"/>
      <c r="BV84" s="123"/>
      <c r="BW84" s="123"/>
      <c r="BX84" s="123"/>
      <c r="BY84" s="123"/>
      <c r="BZ84" s="123"/>
      <c r="CA84" s="123"/>
      <c r="CB84" s="123"/>
      <c r="CC84" s="123"/>
    </row>
    <row r="85" spans="3:81" s="184" customFormat="1">
      <c r="C85" s="123"/>
      <c r="D85" s="123"/>
      <c r="E85" s="123"/>
      <c r="F85" s="123"/>
      <c r="G85" s="123"/>
      <c r="H85" s="123"/>
      <c r="I85" s="123"/>
      <c r="J85" s="123"/>
      <c r="K85" s="123"/>
      <c r="L85" s="123"/>
      <c r="M85" s="123"/>
      <c r="N85" s="123"/>
      <c r="O85" s="123"/>
      <c r="P85" s="123"/>
      <c r="Q85" s="123"/>
      <c r="R85" s="123"/>
      <c r="S85" s="123"/>
      <c r="T85" s="123"/>
      <c r="U85" s="123"/>
      <c r="V85" s="123"/>
      <c r="W85" s="123"/>
      <c r="X85" s="123"/>
      <c r="Y85" s="123"/>
      <c r="Z85" s="123"/>
      <c r="AA85" s="123"/>
      <c r="AB85" s="123"/>
      <c r="AC85" s="123"/>
      <c r="AD85" s="201"/>
      <c r="AE85" s="201"/>
      <c r="AF85" s="201"/>
      <c r="AG85" s="123"/>
      <c r="AH85" s="123"/>
      <c r="AI85" s="123"/>
      <c r="AJ85" s="123"/>
      <c r="AK85" s="123"/>
      <c r="AL85" s="123"/>
      <c r="AM85" s="123"/>
      <c r="AN85" s="123"/>
      <c r="AO85" s="123"/>
      <c r="AP85" s="123"/>
      <c r="AQ85" s="123"/>
      <c r="AR85" s="123"/>
      <c r="AS85" s="123"/>
      <c r="AT85" s="123"/>
      <c r="AU85" s="123"/>
      <c r="AV85" s="123"/>
      <c r="AW85" s="123"/>
      <c r="AX85" s="123"/>
      <c r="AY85" s="123"/>
      <c r="AZ85" s="123"/>
      <c r="BA85" s="123"/>
      <c r="BB85" s="123"/>
      <c r="BC85" s="123"/>
      <c r="BD85" s="123"/>
      <c r="BE85" s="123"/>
      <c r="BF85" s="123"/>
      <c r="BG85" s="123"/>
      <c r="BH85" s="123"/>
      <c r="BI85" s="123"/>
      <c r="BJ85" s="123"/>
      <c r="BK85" s="123"/>
      <c r="BL85" s="123"/>
      <c r="BM85" s="123"/>
      <c r="BN85" s="123"/>
      <c r="BO85" s="123"/>
      <c r="BP85" s="123"/>
      <c r="BQ85" s="123"/>
      <c r="BR85" s="123"/>
      <c r="BS85" s="123"/>
      <c r="BT85" s="123"/>
      <c r="BU85" s="123"/>
      <c r="BV85" s="123"/>
      <c r="BW85" s="123"/>
      <c r="BX85" s="123"/>
      <c r="BY85" s="123"/>
      <c r="BZ85" s="123"/>
      <c r="CA85" s="123"/>
      <c r="CB85" s="123"/>
      <c r="CC85" s="123"/>
    </row>
    <row r="86" spans="3:81" s="184" customFormat="1">
      <c r="C86" s="123"/>
      <c r="D86" s="123"/>
      <c r="E86" s="123"/>
      <c r="F86" s="123"/>
      <c r="G86" s="123"/>
      <c r="H86" s="123"/>
      <c r="I86" s="123"/>
      <c r="J86" s="123"/>
      <c r="K86" s="123"/>
      <c r="L86" s="123"/>
      <c r="M86" s="123"/>
      <c r="N86" s="123"/>
      <c r="O86" s="123"/>
      <c r="P86" s="123"/>
      <c r="Q86" s="123"/>
      <c r="R86" s="123"/>
      <c r="S86" s="123"/>
      <c r="T86" s="123"/>
      <c r="U86" s="123"/>
      <c r="V86" s="123"/>
      <c r="W86" s="123"/>
      <c r="X86" s="123"/>
      <c r="Y86" s="123"/>
      <c r="Z86" s="123"/>
      <c r="AA86" s="123"/>
      <c r="AB86" s="123"/>
      <c r="AC86" s="123"/>
      <c r="AD86" s="201"/>
      <c r="AE86" s="201"/>
      <c r="AF86" s="201"/>
      <c r="AG86" s="123"/>
      <c r="AH86" s="123"/>
      <c r="AI86" s="123"/>
      <c r="AJ86" s="123"/>
      <c r="AK86" s="123"/>
      <c r="AL86" s="123"/>
      <c r="AM86" s="123"/>
      <c r="AN86" s="123"/>
      <c r="AO86" s="123"/>
      <c r="AP86" s="123"/>
      <c r="AQ86" s="123"/>
      <c r="AR86" s="123"/>
      <c r="AS86" s="123"/>
      <c r="AT86" s="123"/>
      <c r="AU86" s="123"/>
      <c r="AV86" s="123"/>
      <c r="AW86" s="123"/>
      <c r="AX86" s="123"/>
      <c r="AY86" s="123"/>
      <c r="AZ86" s="123"/>
      <c r="BA86" s="123"/>
      <c r="BB86" s="123"/>
      <c r="BC86" s="123"/>
      <c r="BD86" s="123"/>
      <c r="BE86" s="123"/>
      <c r="BF86" s="123"/>
      <c r="BG86" s="123"/>
      <c r="BH86" s="123"/>
      <c r="BI86" s="123"/>
      <c r="BJ86" s="123"/>
      <c r="BK86" s="123"/>
      <c r="BL86" s="123"/>
      <c r="BM86" s="123"/>
      <c r="BN86" s="123"/>
      <c r="BO86" s="123"/>
      <c r="BP86" s="123"/>
      <c r="BQ86" s="123"/>
      <c r="BR86" s="123"/>
      <c r="BS86" s="123"/>
      <c r="BT86" s="123"/>
      <c r="BU86" s="123"/>
      <c r="BV86" s="123"/>
      <c r="BW86" s="123"/>
      <c r="BX86" s="123"/>
      <c r="BY86" s="123"/>
      <c r="BZ86" s="123"/>
      <c r="CA86" s="123"/>
      <c r="CB86" s="123"/>
      <c r="CC86" s="123"/>
    </row>
    <row r="87" spans="3:81" s="184" customFormat="1">
      <c r="C87" s="123"/>
      <c r="D87" s="123"/>
      <c r="E87" s="123"/>
      <c r="F87" s="123"/>
      <c r="G87" s="123"/>
      <c r="H87" s="123"/>
      <c r="I87" s="123"/>
      <c r="J87" s="123"/>
      <c r="K87" s="123"/>
      <c r="L87" s="123"/>
      <c r="M87" s="123"/>
      <c r="N87" s="123"/>
      <c r="O87" s="123"/>
      <c r="P87" s="123"/>
      <c r="Q87" s="123"/>
      <c r="R87" s="123"/>
      <c r="S87" s="123"/>
      <c r="T87" s="123"/>
      <c r="U87" s="123"/>
      <c r="V87" s="123"/>
      <c r="W87" s="123"/>
      <c r="X87" s="123"/>
      <c r="Y87" s="123"/>
      <c r="Z87" s="123"/>
      <c r="AA87" s="123"/>
      <c r="AB87" s="123"/>
      <c r="AC87" s="123"/>
      <c r="AD87" s="201"/>
      <c r="AE87" s="201"/>
      <c r="AF87" s="201"/>
      <c r="AG87" s="123"/>
      <c r="AH87" s="123"/>
      <c r="AI87" s="123"/>
      <c r="AJ87" s="123"/>
      <c r="AK87" s="123"/>
      <c r="AL87" s="123"/>
      <c r="AM87" s="123"/>
      <c r="AN87" s="123"/>
      <c r="AO87" s="123"/>
      <c r="AP87" s="123"/>
      <c r="AQ87" s="123"/>
      <c r="AR87" s="123"/>
      <c r="AS87" s="123"/>
      <c r="AT87" s="123"/>
      <c r="AU87" s="123"/>
      <c r="AV87" s="123"/>
      <c r="AW87" s="123"/>
      <c r="AX87" s="123"/>
      <c r="AY87" s="123"/>
      <c r="AZ87" s="123"/>
      <c r="BA87" s="123"/>
      <c r="BB87" s="123"/>
      <c r="BC87" s="123"/>
      <c r="BD87" s="123"/>
      <c r="BE87" s="123"/>
      <c r="BF87" s="123"/>
      <c r="BG87" s="123"/>
      <c r="BH87" s="123"/>
      <c r="BI87" s="123"/>
      <c r="BJ87" s="123"/>
      <c r="BK87" s="123"/>
      <c r="BL87" s="123"/>
      <c r="BM87" s="123"/>
      <c r="BN87" s="123"/>
      <c r="BO87" s="123"/>
      <c r="BP87" s="123"/>
      <c r="BQ87" s="123"/>
      <c r="BR87" s="123"/>
      <c r="BS87" s="123"/>
      <c r="BT87" s="123"/>
      <c r="BU87" s="123"/>
      <c r="BV87" s="123"/>
      <c r="BW87" s="123"/>
      <c r="BX87" s="123"/>
      <c r="BY87" s="123"/>
      <c r="BZ87" s="123"/>
      <c r="CA87" s="123"/>
      <c r="CB87" s="123"/>
      <c r="CC87" s="123"/>
    </row>
    <row r="88" spans="3:81" s="184" customFormat="1">
      <c r="C88" s="123"/>
      <c r="D88" s="123"/>
      <c r="E88" s="123"/>
      <c r="F88" s="123"/>
      <c r="G88" s="123"/>
      <c r="H88" s="123"/>
      <c r="I88" s="123"/>
      <c r="J88" s="123"/>
      <c r="K88" s="123"/>
      <c r="L88" s="123"/>
      <c r="M88" s="123"/>
      <c r="N88" s="123"/>
      <c r="O88" s="123"/>
      <c r="P88" s="123"/>
      <c r="Q88" s="123"/>
      <c r="R88" s="123"/>
      <c r="S88" s="123"/>
      <c r="T88" s="123"/>
      <c r="U88" s="123"/>
      <c r="V88" s="123"/>
      <c r="W88" s="123"/>
      <c r="X88" s="123"/>
      <c r="Y88" s="123"/>
      <c r="Z88" s="123"/>
      <c r="AA88" s="123"/>
      <c r="AB88" s="123"/>
      <c r="AC88" s="123"/>
      <c r="AD88" s="201"/>
      <c r="AE88" s="201"/>
      <c r="AF88" s="201"/>
      <c r="AG88" s="123"/>
      <c r="AH88" s="123"/>
      <c r="AI88" s="123"/>
      <c r="AJ88" s="123"/>
      <c r="AK88" s="123"/>
      <c r="AL88" s="123"/>
      <c r="AM88" s="123"/>
      <c r="AN88" s="123"/>
      <c r="AO88" s="123"/>
      <c r="AP88" s="123"/>
      <c r="AQ88" s="123"/>
      <c r="AR88" s="123"/>
      <c r="AS88" s="123"/>
      <c r="AT88" s="123"/>
      <c r="AU88" s="123"/>
      <c r="AV88" s="123"/>
      <c r="AW88" s="123"/>
      <c r="AX88" s="123"/>
      <c r="AY88" s="123"/>
      <c r="AZ88" s="123"/>
      <c r="BA88" s="123"/>
      <c r="BB88" s="123"/>
      <c r="BC88" s="123"/>
      <c r="BD88" s="123"/>
      <c r="BE88" s="123"/>
      <c r="BF88" s="123"/>
      <c r="BG88" s="123"/>
      <c r="BH88" s="123"/>
      <c r="BI88" s="123"/>
      <c r="BJ88" s="123"/>
      <c r="BK88" s="123"/>
      <c r="BL88" s="123"/>
      <c r="BM88" s="123"/>
      <c r="BN88" s="123"/>
      <c r="BO88" s="123"/>
      <c r="BP88" s="123"/>
      <c r="BQ88" s="123"/>
      <c r="BR88" s="123"/>
      <c r="BS88" s="123"/>
      <c r="BT88" s="123"/>
      <c r="BU88" s="123"/>
      <c r="BV88" s="123"/>
      <c r="BW88" s="123"/>
      <c r="BX88" s="123"/>
      <c r="BY88" s="123"/>
      <c r="BZ88" s="123"/>
      <c r="CA88" s="123"/>
      <c r="CB88" s="123"/>
      <c r="CC88" s="123"/>
    </row>
    <row r="89" spans="3:81" s="184" customFormat="1">
      <c r="C89" s="123"/>
      <c r="D89" s="123"/>
      <c r="E89" s="123"/>
      <c r="F89" s="123"/>
      <c r="G89" s="123"/>
      <c r="H89" s="123"/>
      <c r="I89" s="123"/>
      <c r="J89" s="123"/>
      <c r="K89" s="123"/>
      <c r="L89" s="123"/>
      <c r="M89" s="123"/>
      <c r="N89" s="123"/>
      <c r="O89" s="123"/>
      <c r="P89" s="123"/>
      <c r="Q89" s="123"/>
      <c r="R89" s="123"/>
      <c r="S89" s="123"/>
      <c r="T89" s="123"/>
      <c r="U89" s="123"/>
      <c r="V89" s="123"/>
      <c r="W89" s="123"/>
      <c r="X89" s="123"/>
      <c r="Y89" s="123"/>
      <c r="Z89" s="123"/>
      <c r="AA89" s="123"/>
      <c r="AB89" s="123"/>
      <c r="AC89" s="123"/>
      <c r="AD89" s="201"/>
      <c r="AE89" s="201"/>
      <c r="AF89" s="201"/>
      <c r="AG89" s="123"/>
      <c r="AH89" s="123"/>
      <c r="AI89" s="123"/>
      <c r="AJ89" s="123"/>
      <c r="AK89" s="123"/>
      <c r="AL89" s="123"/>
      <c r="AM89" s="123"/>
      <c r="AN89" s="123"/>
      <c r="AO89" s="123"/>
      <c r="AP89" s="123"/>
      <c r="AQ89" s="123"/>
      <c r="AR89" s="123"/>
      <c r="AS89" s="123"/>
      <c r="AT89" s="123"/>
      <c r="AU89" s="123"/>
      <c r="AV89" s="123"/>
      <c r="AW89" s="123"/>
      <c r="AX89" s="123"/>
      <c r="AY89" s="123"/>
      <c r="AZ89" s="123"/>
      <c r="BA89" s="123"/>
      <c r="BB89" s="123"/>
      <c r="BC89" s="123"/>
      <c r="BD89" s="123"/>
      <c r="BE89" s="123"/>
      <c r="BF89" s="123"/>
      <c r="BG89" s="123"/>
      <c r="BH89" s="123"/>
      <c r="BI89" s="123"/>
      <c r="BJ89" s="123"/>
      <c r="BK89" s="123"/>
      <c r="BL89" s="123"/>
      <c r="BM89" s="123"/>
      <c r="BN89" s="123"/>
      <c r="BO89" s="123"/>
      <c r="BP89" s="123"/>
      <c r="BQ89" s="123"/>
      <c r="BR89" s="123"/>
      <c r="BS89" s="123"/>
      <c r="BT89" s="123"/>
      <c r="BU89" s="123"/>
      <c r="BV89" s="123"/>
      <c r="BW89" s="123"/>
      <c r="BX89" s="123"/>
      <c r="BY89" s="123"/>
      <c r="BZ89" s="123"/>
      <c r="CA89" s="123"/>
      <c r="CB89" s="123"/>
      <c r="CC89" s="123"/>
    </row>
    <row r="90" spans="3:81" s="184" customFormat="1">
      <c r="C90" s="123"/>
      <c r="D90" s="123"/>
      <c r="E90" s="123"/>
      <c r="F90" s="123"/>
      <c r="G90" s="123"/>
      <c r="H90" s="123"/>
      <c r="I90" s="123"/>
      <c r="J90" s="123"/>
      <c r="K90" s="123"/>
      <c r="L90" s="123"/>
      <c r="M90" s="123"/>
      <c r="N90" s="123"/>
      <c r="O90" s="123"/>
      <c r="P90" s="123"/>
      <c r="Q90" s="123"/>
      <c r="R90" s="123"/>
      <c r="S90" s="123"/>
      <c r="T90" s="123"/>
      <c r="U90" s="123"/>
      <c r="V90" s="123"/>
      <c r="W90" s="123"/>
      <c r="X90" s="123"/>
      <c r="Y90" s="123"/>
      <c r="Z90" s="123"/>
      <c r="AA90" s="123"/>
      <c r="AB90" s="123"/>
      <c r="AC90" s="123"/>
      <c r="AD90" s="201"/>
      <c r="AE90" s="201"/>
      <c r="AF90" s="201"/>
      <c r="AG90" s="123"/>
      <c r="AH90" s="123"/>
      <c r="AI90" s="123"/>
      <c r="AJ90" s="123"/>
      <c r="AK90" s="123"/>
      <c r="AL90" s="123"/>
      <c r="AM90" s="123"/>
      <c r="AN90" s="123"/>
      <c r="AO90" s="123"/>
      <c r="AP90" s="123"/>
      <c r="AQ90" s="123"/>
      <c r="AR90" s="123"/>
      <c r="AS90" s="123"/>
      <c r="AT90" s="123"/>
      <c r="AU90" s="123"/>
      <c r="AV90" s="123"/>
      <c r="AW90" s="123"/>
      <c r="AX90" s="123"/>
      <c r="AY90" s="123"/>
      <c r="AZ90" s="123"/>
      <c r="BA90" s="123"/>
      <c r="BB90" s="123"/>
      <c r="BC90" s="123"/>
      <c r="BD90" s="123"/>
      <c r="BE90" s="123"/>
      <c r="BF90" s="123"/>
      <c r="BG90" s="123"/>
      <c r="BH90" s="123"/>
      <c r="BI90" s="123"/>
      <c r="BJ90" s="123"/>
      <c r="BK90" s="123"/>
      <c r="BL90" s="123"/>
      <c r="BM90" s="123"/>
      <c r="BN90" s="123"/>
      <c r="BO90" s="123"/>
      <c r="BP90" s="123"/>
      <c r="BQ90" s="123"/>
      <c r="BR90" s="123"/>
      <c r="BS90" s="123"/>
      <c r="BT90" s="123"/>
      <c r="BU90" s="123"/>
      <c r="BV90" s="123"/>
      <c r="BW90" s="123"/>
      <c r="BX90" s="123"/>
      <c r="BY90" s="123"/>
      <c r="BZ90" s="123"/>
      <c r="CA90" s="123"/>
      <c r="CB90" s="123"/>
      <c r="CC90" s="123"/>
    </row>
    <row r="91" spans="3:81" s="184" customFormat="1">
      <c r="C91" s="123"/>
      <c r="D91" s="123"/>
      <c r="E91" s="123"/>
      <c r="F91" s="123"/>
      <c r="G91" s="123"/>
      <c r="H91" s="123"/>
      <c r="I91" s="123"/>
      <c r="J91" s="123"/>
      <c r="K91" s="123"/>
      <c r="L91" s="123"/>
      <c r="M91" s="123"/>
      <c r="N91" s="123"/>
      <c r="O91" s="123"/>
      <c r="P91" s="123"/>
      <c r="Q91" s="123"/>
      <c r="R91" s="123"/>
      <c r="S91" s="123"/>
      <c r="T91" s="123"/>
      <c r="U91" s="123"/>
      <c r="V91" s="123"/>
      <c r="W91" s="123"/>
      <c r="X91" s="123"/>
      <c r="Y91" s="123"/>
      <c r="Z91" s="123"/>
      <c r="AA91" s="123"/>
      <c r="AB91" s="123"/>
      <c r="AC91" s="123"/>
      <c r="AD91" s="201"/>
      <c r="AE91" s="201"/>
      <c r="AF91" s="201"/>
      <c r="AG91" s="123"/>
      <c r="AH91" s="123"/>
      <c r="AI91" s="123"/>
      <c r="AJ91" s="123"/>
      <c r="AK91" s="123"/>
      <c r="AL91" s="123"/>
      <c r="AM91" s="123"/>
      <c r="AN91" s="123"/>
      <c r="AO91" s="123"/>
      <c r="AP91" s="123"/>
      <c r="AQ91" s="123"/>
      <c r="AR91" s="123"/>
      <c r="AS91" s="123"/>
      <c r="AT91" s="123"/>
      <c r="AU91" s="123"/>
      <c r="AV91" s="123"/>
      <c r="AW91" s="123"/>
      <c r="AX91" s="123"/>
      <c r="AY91" s="123"/>
      <c r="AZ91" s="123"/>
      <c r="BA91" s="123"/>
      <c r="BB91" s="123"/>
      <c r="BC91" s="123"/>
      <c r="BD91" s="123"/>
      <c r="BE91" s="123"/>
      <c r="BF91" s="123"/>
      <c r="BG91" s="123"/>
      <c r="BH91" s="123"/>
      <c r="BI91" s="123"/>
      <c r="BJ91" s="123"/>
      <c r="BK91" s="123"/>
      <c r="BL91" s="123"/>
      <c r="BM91" s="123"/>
      <c r="BN91" s="123"/>
      <c r="BO91" s="123"/>
      <c r="BP91" s="123"/>
      <c r="BQ91" s="123"/>
      <c r="BR91" s="123"/>
      <c r="BS91" s="123"/>
      <c r="BT91" s="123"/>
      <c r="BU91" s="123"/>
      <c r="BV91" s="123"/>
      <c r="BW91" s="123"/>
      <c r="BX91" s="123"/>
      <c r="BY91" s="123"/>
      <c r="BZ91" s="123"/>
      <c r="CA91" s="123"/>
      <c r="CB91" s="123"/>
      <c r="CC91" s="123"/>
    </row>
    <row r="92" spans="3:81" s="123" customFormat="1">
      <c r="AD92" s="201"/>
      <c r="AE92" s="201"/>
      <c r="AF92" s="201"/>
    </row>
    <row r="93" spans="3:81" s="123" customFormat="1">
      <c r="AD93" s="201"/>
      <c r="AE93" s="201"/>
      <c r="AF93" s="201"/>
    </row>
    <row r="94" spans="3:81" s="123" customFormat="1">
      <c r="AD94" s="201"/>
      <c r="AE94" s="201"/>
      <c r="AF94" s="201"/>
    </row>
    <row r="95" spans="3:81" s="123" customFormat="1">
      <c r="AD95" s="201"/>
      <c r="AE95" s="201"/>
      <c r="AF95" s="201"/>
    </row>
    <row r="96" spans="3:81" s="123" customFormat="1">
      <c r="AD96" s="201"/>
      <c r="AE96" s="201"/>
      <c r="AF96" s="201"/>
    </row>
    <row r="97" spans="30:32" s="123" customFormat="1">
      <c r="AD97" s="201"/>
      <c r="AE97" s="201"/>
      <c r="AF97" s="201"/>
    </row>
    <row r="98" spans="30:32" s="123" customFormat="1">
      <c r="AD98" s="201"/>
      <c r="AE98" s="201"/>
      <c r="AF98" s="201"/>
    </row>
    <row r="99" spans="30:32" s="123" customFormat="1">
      <c r="AD99" s="201"/>
      <c r="AE99" s="201"/>
      <c r="AF99" s="201"/>
    </row>
    <row r="100" spans="30:32" s="123" customFormat="1">
      <c r="AD100" s="201"/>
      <c r="AE100" s="201"/>
      <c r="AF100" s="201"/>
    </row>
    <row r="101" spans="30:32" s="123" customFormat="1">
      <c r="AD101" s="201"/>
      <c r="AE101" s="201"/>
      <c r="AF101" s="201"/>
    </row>
    <row r="102" spans="30:32" s="123" customFormat="1">
      <c r="AD102" s="201"/>
      <c r="AE102" s="201"/>
      <c r="AF102" s="201"/>
    </row>
    <row r="103" spans="30:32" s="123" customFormat="1">
      <c r="AD103" s="201"/>
      <c r="AE103" s="201"/>
      <c r="AF103" s="201"/>
    </row>
    <row r="104" spans="30:32" s="123" customFormat="1">
      <c r="AD104" s="201"/>
      <c r="AE104" s="201"/>
      <c r="AF104" s="201"/>
    </row>
    <row r="105" spans="30:32" s="123" customFormat="1">
      <c r="AD105" s="201"/>
      <c r="AE105" s="201"/>
      <c r="AF105" s="201"/>
    </row>
    <row r="106" spans="30:32" s="123" customFormat="1">
      <c r="AD106" s="201"/>
      <c r="AE106" s="201"/>
      <c r="AF106" s="201"/>
    </row>
    <row r="107" spans="30:32" s="123" customFormat="1">
      <c r="AD107" s="201"/>
      <c r="AE107" s="201"/>
      <c r="AF107" s="201"/>
    </row>
    <row r="108" spans="30:32" s="123" customFormat="1">
      <c r="AD108" s="201"/>
      <c r="AE108" s="201"/>
      <c r="AF108" s="201"/>
    </row>
    <row r="109" spans="30:32" s="123" customFormat="1">
      <c r="AD109" s="201"/>
      <c r="AE109" s="201"/>
      <c r="AF109" s="201"/>
    </row>
    <row r="110" spans="30:32" s="123" customFormat="1">
      <c r="AD110" s="201"/>
      <c r="AE110" s="201"/>
      <c r="AF110" s="201"/>
    </row>
    <row r="111" spans="30:32" s="123" customFormat="1">
      <c r="AD111" s="201"/>
      <c r="AE111" s="201"/>
      <c r="AF111" s="201"/>
    </row>
    <row r="112" spans="30:32" s="123" customFormat="1">
      <c r="AD112" s="201"/>
      <c r="AE112" s="201"/>
      <c r="AF112" s="201"/>
    </row>
    <row r="113" spans="30:32" s="123" customFormat="1">
      <c r="AD113" s="201"/>
      <c r="AE113" s="201"/>
      <c r="AF113" s="201"/>
    </row>
    <row r="114" spans="30:32" s="123" customFormat="1">
      <c r="AD114" s="201"/>
      <c r="AE114" s="201"/>
      <c r="AF114" s="201"/>
    </row>
    <row r="115" spans="30:32" s="123" customFormat="1">
      <c r="AD115" s="201"/>
      <c r="AE115" s="201"/>
      <c r="AF115" s="201"/>
    </row>
    <row r="116" spans="30:32" s="123" customFormat="1">
      <c r="AD116" s="201"/>
      <c r="AE116" s="201"/>
      <c r="AF116" s="201"/>
    </row>
    <row r="117" spans="30:32" s="123" customFormat="1">
      <c r="AD117" s="201"/>
      <c r="AE117" s="201"/>
      <c r="AF117" s="201"/>
    </row>
    <row r="118" spans="30:32" s="123" customFormat="1">
      <c r="AD118" s="201"/>
      <c r="AE118" s="201"/>
      <c r="AF118" s="201"/>
    </row>
    <row r="119" spans="30:32" s="123" customFormat="1">
      <c r="AD119" s="201"/>
      <c r="AE119" s="201"/>
      <c r="AF119" s="201"/>
    </row>
    <row r="120" spans="30:32" s="123" customFormat="1">
      <c r="AD120" s="201"/>
      <c r="AE120" s="201"/>
      <c r="AF120" s="201"/>
    </row>
    <row r="121" spans="30:32" s="123" customFormat="1">
      <c r="AD121" s="201"/>
      <c r="AE121" s="201"/>
      <c r="AF121" s="201"/>
    </row>
    <row r="122" spans="30:32" s="123" customFormat="1">
      <c r="AD122" s="201"/>
      <c r="AE122" s="201"/>
      <c r="AF122" s="201"/>
    </row>
    <row r="123" spans="30:32" s="123" customFormat="1">
      <c r="AD123" s="201"/>
      <c r="AE123" s="201"/>
      <c r="AF123" s="201"/>
    </row>
    <row r="124" spans="30:32" s="123" customFormat="1">
      <c r="AD124" s="201"/>
      <c r="AE124" s="201"/>
      <c r="AF124" s="201"/>
    </row>
    <row r="125" spans="30:32" s="123" customFormat="1">
      <c r="AD125" s="201"/>
      <c r="AE125" s="201"/>
      <c r="AF125" s="201"/>
    </row>
    <row r="126" spans="30:32" s="123" customFormat="1">
      <c r="AD126" s="201"/>
      <c r="AE126" s="201"/>
      <c r="AF126" s="201"/>
    </row>
    <row r="127" spans="30:32" s="123" customFormat="1">
      <c r="AD127" s="201"/>
      <c r="AE127" s="201"/>
      <c r="AF127" s="201"/>
    </row>
    <row r="128" spans="30:32" s="123" customFormat="1">
      <c r="AD128" s="201"/>
      <c r="AE128" s="201"/>
      <c r="AF128" s="201"/>
    </row>
    <row r="129" spans="30:32" s="123" customFormat="1">
      <c r="AD129" s="201"/>
      <c r="AE129" s="201"/>
      <c r="AF129" s="201"/>
    </row>
    <row r="130" spans="30:32" s="123" customFormat="1">
      <c r="AD130" s="201"/>
      <c r="AE130" s="201"/>
      <c r="AF130" s="201"/>
    </row>
    <row r="131" spans="30:32" s="123" customFormat="1">
      <c r="AD131" s="201"/>
      <c r="AE131" s="201"/>
      <c r="AF131" s="201"/>
    </row>
    <row r="132" spans="30:32" s="123" customFormat="1">
      <c r="AD132" s="201"/>
      <c r="AE132" s="201"/>
      <c r="AF132" s="201"/>
    </row>
    <row r="133" spans="30:32" s="123" customFormat="1">
      <c r="AD133" s="201"/>
      <c r="AE133" s="201"/>
      <c r="AF133" s="201"/>
    </row>
    <row r="134" spans="30:32" s="123" customFormat="1">
      <c r="AD134" s="201"/>
      <c r="AE134" s="201"/>
      <c r="AF134" s="201"/>
    </row>
    <row r="135" spans="30:32" s="123" customFormat="1">
      <c r="AD135" s="201"/>
      <c r="AE135" s="201"/>
      <c r="AF135" s="201"/>
    </row>
    <row r="136" spans="30:32" s="123" customFormat="1">
      <c r="AD136" s="201"/>
      <c r="AE136" s="201"/>
      <c r="AF136" s="201"/>
    </row>
    <row r="137" spans="30:32" s="123" customFormat="1">
      <c r="AD137" s="201"/>
      <c r="AE137" s="201"/>
      <c r="AF137" s="201"/>
    </row>
    <row r="138" spans="30:32" s="123" customFormat="1">
      <c r="AD138" s="201"/>
      <c r="AE138" s="201"/>
      <c r="AF138" s="201"/>
    </row>
    <row r="139" spans="30:32" s="123" customFormat="1">
      <c r="AD139" s="201"/>
      <c r="AE139" s="201"/>
      <c r="AF139" s="201"/>
    </row>
    <row r="140" spans="30:32" s="123" customFormat="1">
      <c r="AD140" s="201"/>
      <c r="AE140" s="201"/>
      <c r="AF140" s="201"/>
    </row>
    <row r="141" spans="30:32" s="123" customFormat="1">
      <c r="AD141" s="201"/>
      <c r="AE141" s="201"/>
      <c r="AF141" s="201"/>
    </row>
    <row r="142" spans="30:32" s="123" customFormat="1">
      <c r="AD142" s="201"/>
      <c r="AE142" s="201"/>
      <c r="AF142" s="201"/>
    </row>
    <row r="143" spans="30:32" s="123" customFormat="1">
      <c r="AD143" s="201"/>
      <c r="AE143" s="201"/>
      <c r="AF143" s="201"/>
    </row>
    <row r="144" spans="30:32" s="123" customFormat="1">
      <c r="AD144" s="201"/>
      <c r="AE144" s="201"/>
      <c r="AF144" s="201"/>
    </row>
    <row r="145" spans="30:32" s="123" customFormat="1">
      <c r="AD145" s="201"/>
      <c r="AE145" s="201"/>
      <c r="AF145" s="201"/>
    </row>
    <row r="146" spans="30:32" s="123" customFormat="1">
      <c r="AD146" s="201"/>
      <c r="AE146" s="201"/>
      <c r="AF146" s="201"/>
    </row>
    <row r="147" spans="30:32" s="123" customFormat="1">
      <c r="AD147" s="201"/>
      <c r="AE147" s="201"/>
      <c r="AF147" s="201"/>
    </row>
    <row r="148" spans="30:32" s="123" customFormat="1">
      <c r="AD148" s="201"/>
      <c r="AE148" s="201"/>
      <c r="AF148" s="201"/>
    </row>
    <row r="149" spans="30:32" s="123" customFormat="1">
      <c r="AD149" s="201"/>
      <c r="AE149" s="201"/>
      <c r="AF149" s="201"/>
    </row>
    <row r="150" spans="30:32" s="123" customFormat="1">
      <c r="AD150" s="201"/>
      <c r="AE150" s="201"/>
      <c r="AF150" s="201"/>
    </row>
    <row r="151" spans="30:32" s="123" customFormat="1">
      <c r="AD151" s="201"/>
      <c r="AE151" s="201"/>
      <c r="AF151" s="201"/>
    </row>
    <row r="152" spans="30:32" s="123" customFormat="1">
      <c r="AD152" s="201"/>
      <c r="AE152" s="201"/>
      <c r="AF152" s="201"/>
    </row>
    <row r="153" spans="30:32" s="123" customFormat="1">
      <c r="AD153" s="201"/>
      <c r="AE153" s="201"/>
      <c r="AF153" s="201"/>
    </row>
    <row r="154" spans="30:32" s="123" customFormat="1">
      <c r="AD154" s="201"/>
      <c r="AE154" s="201"/>
      <c r="AF154" s="201"/>
    </row>
    <row r="155" spans="30:32" s="123" customFormat="1">
      <c r="AD155" s="201"/>
      <c r="AE155" s="201"/>
      <c r="AF155" s="201"/>
    </row>
    <row r="156" spans="30:32" s="123" customFormat="1">
      <c r="AD156" s="201"/>
      <c r="AE156" s="201"/>
      <c r="AF156" s="201"/>
    </row>
    <row r="157" spans="30:32" s="123" customFormat="1">
      <c r="AD157" s="201"/>
      <c r="AE157" s="201"/>
      <c r="AF157" s="201"/>
    </row>
    <row r="158" spans="30:32" s="123" customFormat="1">
      <c r="AD158" s="201"/>
      <c r="AE158" s="201"/>
      <c r="AF158" s="201"/>
    </row>
    <row r="159" spans="30:32" s="123" customFormat="1">
      <c r="AD159" s="201"/>
      <c r="AE159" s="201"/>
      <c r="AF159" s="201"/>
    </row>
    <row r="160" spans="30:32" s="123" customFormat="1">
      <c r="AD160" s="201"/>
      <c r="AE160" s="201"/>
      <c r="AF160" s="201"/>
    </row>
    <row r="161" spans="30:32" s="123" customFormat="1">
      <c r="AD161" s="201"/>
      <c r="AE161" s="201"/>
      <c r="AF161" s="201"/>
    </row>
    <row r="162" spans="30:32" s="123" customFormat="1">
      <c r="AD162" s="201"/>
      <c r="AE162" s="201"/>
      <c r="AF162" s="201"/>
    </row>
    <row r="163" spans="30:32" s="123" customFormat="1">
      <c r="AD163" s="201"/>
      <c r="AE163" s="201"/>
      <c r="AF163" s="201"/>
    </row>
    <row r="164" spans="30:32" s="123" customFormat="1">
      <c r="AD164" s="201"/>
      <c r="AE164" s="201"/>
      <c r="AF164" s="201"/>
    </row>
    <row r="165" spans="30:32" s="123" customFormat="1">
      <c r="AD165" s="201"/>
      <c r="AE165" s="201"/>
      <c r="AF165" s="201"/>
    </row>
    <row r="166" spans="30:32" s="123" customFormat="1">
      <c r="AD166" s="201"/>
      <c r="AE166" s="201"/>
      <c r="AF166" s="201"/>
    </row>
    <row r="167" spans="30:32" s="123" customFormat="1">
      <c r="AD167" s="201"/>
      <c r="AE167" s="201"/>
      <c r="AF167" s="201"/>
    </row>
    <row r="168" spans="30:32" s="123" customFormat="1">
      <c r="AD168" s="201"/>
      <c r="AE168" s="201"/>
      <c r="AF168" s="201"/>
    </row>
    <row r="169" spans="30:32" s="123" customFormat="1">
      <c r="AD169" s="201"/>
      <c r="AE169" s="201"/>
      <c r="AF169" s="201"/>
    </row>
    <row r="170" spans="30:32" s="123" customFormat="1">
      <c r="AD170" s="201"/>
      <c r="AE170" s="201"/>
      <c r="AF170" s="201"/>
    </row>
    <row r="171" spans="30:32" s="123" customFormat="1">
      <c r="AD171" s="201"/>
      <c r="AE171" s="201"/>
      <c r="AF171" s="201"/>
    </row>
    <row r="172" spans="30:32" s="123" customFormat="1">
      <c r="AD172" s="201"/>
      <c r="AE172" s="201"/>
      <c r="AF172" s="201"/>
    </row>
    <row r="173" spans="30:32" s="123" customFormat="1">
      <c r="AD173" s="201"/>
      <c r="AE173" s="201"/>
      <c r="AF173" s="201"/>
    </row>
    <row r="174" spans="30:32" s="123" customFormat="1">
      <c r="AD174" s="201"/>
      <c r="AE174" s="201"/>
      <c r="AF174" s="201"/>
    </row>
    <row r="175" spans="30:32" s="123" customFormat="1">
      <c r="AD175" s="201"/>
      <c r="AE175" s="201"/>
      <c r="AF175" s="201"/>
    </row>
    <row r="176" spans="30:32" s="123" customFormat="1">
      <c r="AD176" s="201"/>
      <c r="AE176" s="201"/>
      <c r="AF176" s="201"/>
    </row>
    <row r="177" spans="30:32" s="123" customFormat="1">
      <c r="AD177" s="201"/>
      <c r="AE177" s="201"/>
      <c r="AF177" s="201"/>
    </row>
    <row r="178" spans="30:32" s="123" customFormat="1">
      <c r="AD178" s="201"/>
      <c r="AE178" s="201"/>
      <c r="AF178" s="201"/>
    </row>
    <row r="179" spans="30:32" s="123" customFormat="1">
      <c r="AD179" s="201"/>
      <c r="AE179" s="201"/>
      <c r="AF179" s="201"/>
    </row>
    <row r="180" spans="30:32" s="123" customFormat="1">
      <c r="AD180" s="201"/>
      <c r="AE180" s="201"/>
      <c r="AF180" s="201"/>
    </row>
    <row r="181" spans="30:32" s="123" customFormat="1">
      <c r="AD181" s="201"/>
      <c r="AE181" s="201"/>
      <c r="AF181" s="201"/>
    </row>
    <row r="182" spans="30:32" s="123" customFormat="1">
      <c r="AD182" s="201"/>
      <c r="AE182" s="201"/>
      <c r="AF182" s="201"/>
    </row>
    <row r="183" spans="30:32" s="123" customFormat="1">
      <c r="AD183" s="201"/>
      <c r="AE183" s="201"/>
      <c r="AF183" s="201"/>
    </row>
    <row r="184" spans="30:32" s="123" customFormat="1">
      <c r="AD184" s="201"/>
      <c r="AE184" s="201"/>
      <c r="AF184" s="201"/>
    </row>
    <row r="185" spans="30:32" s="123" customFormat="1">
      <c r="AD185" s="201"/>
      <c r="AE185" s="201"/>
      <c r="AF185" s="201"/>
    </row>
    <row r="186" spans="30:32" s="123" customFormat="1">
      <c r="AD186" s="201"/>
      <c r="AE186" s="201"/>
      <c r="AF186" s="201"/>
    </row>
    <row r="187" spans="30:32" s="123" customFormat="1">
      <c r="AD187" s="201"/>
      <c r="AE187" s="201"/>
      <c r="AF187" s="201"/>
    </row>
    <row r="188" spans="30:32" s="123" customFormat="1">
      <c r="AD188" s="201"/>
      <c r="AE188" s="201"/>
      <c r="AF188" s="201"/>
    </row>
    <row r="189" spans="30:32" s="123" customFormat="1">
      <c r="AD189" s="201"/>
      <c r="AE189" s="201"/>
      <c r="AF189" s="201"/>
    </row>
    <row r="190" spans="30:32" s="123" customFormat="1">
      <c r="AD190" s="201"/>
      <c r="AE190" s="201"/>
      <c r="AF190" s="201"/>
    </row>
    <row r="191" spans="30:32" s="123" customFormat="1">
      <c r="AD191" s="201"/>
      <c r="AE191" s="201"/>
      <c r="AF191" s="201"/>
    </row>
    <row r="192" spans="30:32" s="123" customFormat="1">
      <c r="AD192" s="201"/>
      <c r="AE192" s="201"/>
      <c r="AF192" s="201"/>
    </row>
    <row r="193" spans="24:46" s="22" customFormat="1">
      <c r="X193" s="123"/>
      <c r="Y193" s="123"/>
      <c r="Z193" s="123"/>
      <c r="AA193" s="123"/>
      <c r="AB193" s="123"/>
      <c r="AD193" s="201"/>
      <c r="AE193" s="201"/>
      <c r="AF193" s="201"/>
      <c r="AG193" s="123"/>
      <c r="AH193" s="123"/>
      <c r="AI193" s="123"/>
      <c r="AJ193" s="123"/>
      <c r="AK193" s="123"/>
      <c r="AL193" s="123"/>
      <c r="AM193" s="123"/>
      <c r="AN193" s="123"/>
      <c r="AO193" s="123"/>
      <c r="AP193" s="123"/>
      <c r="AQ193" s="123"/>
      <c r="AR193" s="123"/>
      <c r="AS193" s="123"/>
      <c r="AT193" s="123"/>
    </row>
    <row r="194" spans="24:46" s="22" customFormat="1">
      <c r="X194" s="123"/>
      <c r="Y194" s="123"/>
      <c r="Z194" s="123"/>
      <c r="AA194" s="123"/>
      <c r="AB194" s="123"/>
      <c r="AD194" s="201"/>
      <c r="AE194" s="201"/>
      <c r="AF194" s="201"/>
      <c r="AG194" s="123"/>
      <c r="AH194" s="123"/>
      <c r="AI194" s="123"/>
      <c r="AJ194" s="123"/>
      <c r="AK194" s="123"/>
      <c r="AL194" s="123"/>
      <c r="AM194" s="123"/>
      <c r="AN194" s="123"/>
      <c r="AO194" s="123"/>
      <c r="AP194" s="123"/>
      <c r="AQ194" s="123"/>
      <c r="AR194" s="123"/>
      <c r="AS194" s="123"/>
      <c r="AT194" s="123"/>
    </row>
    <row r="195" spans="24:46" s="22" customFormat="1">
      <c r="X195" s="123"/>
      <c r="Y195" s="123"/>
      <c r="Z195" s="123"/>
      <c r="AA195" s="123"/>
      <c r="AB195" s="123"/>
      <c r="AD195" s="201"/>
      <c r="AE195" s="201"/>
      <c r="AF195" s="201"/>
      <c r="AG195" s="123"/>
      <c r="AH195" s="123"/>
      <c r="AI195" s="123"/>
      <c r="AJ195" s="123"/>
      <c r="AK195" s="123"/>
      <c r="AL195" s="123"/>
      <c r="AM195" s="123"/>
      <c r="AN195" s="123"/>
      <c r="AO195" s="123"/>
      <c r="AP195" s="123"/>
      <c r="AQ195" s="123"/>
      <c r="AR195" s="123"/>
      <c r="AS195" s="123"/>
      <c r="AT195" s="123"/>
    </row>
    <row r="196" spans="24:46" s="22" customFormat="1">
      <c r="X196" s="123"/>
      <c r="Y196" s="123"/>
      <c r="Z196" s="123"/>
      <c r="AA196" s="123"/>
      <c r="AB196" s="123"/>
      <c r="AD196" s="201"/>
      <c r="AE196" s="201"/>
      <c r="AF196" s="201"/>
      <c r="AG196" s="123"/>
      <c r="AH196" s="123"/>
      <c r="AI196" s="123"/>
      <c r="AJ196" s="123"/>
      <c r="AK196" s="123"/>
      <c r="AL196" s="123"/>
      <c r="AM196" s="123"/>
      <c r="AN196" s="123"/>
      <c r="AO196" s="123"/>
      <c r="AP196" s="123"/>
      <c r="AQ196" s="123"/>
      <c r="AR196" s="123"/>
      <c r="AS196" s="123"/>
      <c r="AT196" s="123"/>
    </row>
    <row r="197" spans="24:46" s="22" customFormat="1">
      <c r="X197" s="123"/>
      <c r="Y197" s="123"/>
      <c r="Z197" s="123"/>
      <c r="AA197" s="123"/>
      <c r="AB197" s="123"/>
      <c r="AD197" s="201"/>
      <c r="AE197" s="201"/>
      <c r="AF197" s="201"/>
      <c r="AG197" s="123"/>
      <c r="AH197" s="123"/>
      <c r="AI197" s="123"/>
      <c r="AJ197" s="123"/>
      <c r="AK197" s="123"/>
      <c r="AL197" s="123"/>
      <c r="AM197" s="123"/>
      <c r="AN197" s="123"/>
      <c r="AO197" s="123"/>
      <c r="AP197" s="123"/>
      <c r="AQ197" s="123"/>
      <c r="AR197" s="123"/>
      <c r="AS197" s="123"/>
      <c r="AT197" s="123"/>
    </row>
    <row r="198" spans="24:46" s="22" customFormat="1">
      <c r="X198" s="123"/>
      <c r="Y198" s="123"/>
      <c r="Z198" s="123"/>
      <c r="AA198" s="123"/>
      <c r="AB198" s="123"/>
      <c r="AD198" s="201"/>
      <c r="AE198" s="201"/>
      <c r="AF198" s="201"/>
      <c r="AG198" s="123"/>
      <c r="AH198" s="123"/>
      <c r="AI198" s="123"/>
      <c r="AJ198" s="123"/>
      <c r="AK198" s="123"/>
      <c r="AL198" s="123"/>
      <c r="AM198" s="123"/>
      <c r="AN198" s="123"/>
      <c r="AO198" s="123"/>
      <c r="AP198" s="123"/>
      <c r="AQ198" s="123"/>
      <c r="AR198" s="123"/>
      <c r="AS198" s="123"/>
      <c r="AT198" s="123"/>
    </row>
    <row r="199" spans="24:46" s="22" customFormat="1">
      <c r="X199" s="123"/>
      <c r="Y199" s="123"/>
      <c r="Z199" s="123"/>
      <c r="AA199" s="123"/>
      <c r="AB199" s="123"/>
      <c r="AD199" s="201"/>
      <c r="AE199" s="201"/>
      <c r="AF199" s="201"/>
      <c r="AG199" s="123"/>
      <c r="AH199" s="123"/>
      <c r="AI199" s="123"/>
      <c r="AJ199" s="123"/>
      <c r="AK199" s="123"/>
      <c r="AL199" s="123"/>
      <c r="AM199" s="123"/>
      <c r="AN199" s="123"/>
      <c r="AO199" s="123"/>
      <c r="AP199" s="123"/>
      <c r="AQ199" s="123"/>
      <c r="AR199" s="123"/>
      <c r="AS199" s="123"/>
      <c r="AT199" s="123"/>
    </row>
    <row r="200" spans="24:46" s="22" customFormat="1">
      <c r="X200" s="123"/>
      <c r="Y200" s="123"/>
      <c r="Z200" s="123"/>
      <c r="AA200" s="123"/>
      <c r="AB200" s="123"/>
      <c r="AD200" s="201"/>
      <c r="AE200" s="201"/>
      <c r="AF200" s="201"/>
      <c r="AG200" s="123"/>
      <c r="AH200" s="123"/>
      <c r="AI200" s="123"/>
      <c r="AJ200" s="123"/>
      <c r="AK200" s="123"/>
      <c r="AL200" s="123"/>
      <c r="AM200" s="123"/>
      <c r="AN200" s="123"/>
      <c r="AO200" s="123"/>
      <c r="AP200" s="123"/>
      <c r="AQ200" s="123"/>
      <c r="AR200" s="123"/>
      <c r="AS200" s="123"/>
      <c r="AT200" s="123"/>
    </row>
    <row r="201" spans="24:46" s="22" customFormat="1">
      <c r="X201" s="123"/>
      <c r="Y201" s="123"/>
      <c r="Z201" s="123"/>
      <c r="AA201" s="123"/>
      <c r="AB201" s="123"/>
      <c r="AD201" s="201"/>
      <c r="AE201" s="201"/>
      <c r="AF201" s="201"/>
      <c r="AG201" s="123"/>
      <c r="AH201" s="123"/>
      <c r="AI201" s="123"/>
      <c r="AJ201" s="123"/>
      <c r="AK201" s="123"/>
      <c r="AL201" s="123"/>
      <c r="AM201" s="123"/>
      <c r="AN201" s="123"/>
      <c r="AO201" s="123"/>
      <c r="AP201" s="123"/>
      <c r="AQ201" s="123"/>
      <c r="AR201" s="123"/>
      <c r="AS201" s="123"/>
      <c r="AT201" s="123"/>
    </row>
    <row r="202" spans="24:46" s="22" customFormat="1">
      <c r="X202" s="123"/>
      <c r="Y202" s="123"/>
      <c r="Z202" s="123"/>
      <c r="AA202" s="123"/>
      <c r="AB202" s="123"/>
      <c r="AD202" s="201"/>
      <c r="AE202" s="201"/>
      <c r="AF202" s="201"/>
      <c r="AG202" s="123"/>
      <c r="AH202" s="123"/>
      <c r="AI202" s="123"/>
      <c r="AJ202" s="123"/>
      <c r="AK202" s="123"/>
      <c r="AL202" s="123"/>
      <c r="AM202" s="123"/>
      <c r="AN202" s="123"/>
      <c r="AO202" s="123"/>
      <c r="AP202" s="123"/>
      <c r="AQ202" s="123"/>
      <c r="AR202" s="123"/>
      <c r="AS202" s="123"/>
      <c r="AT202" s="123"/>
    </row>
    <row r="203" spans="24:46" s="22" customFormat="1">
      <c r="X203" s="123"/>
      <c r="Y203" s="123"/>
      <c r="Z203" s="123"/>
      <c r="AA203" s="123"/>
      <c r="AB203" s="123"/>
      <c r="AD203" s="201"/>
      <c r="AE203" s="201"/>
      <c r="AF203" s="201"/>
      <c r="AG203" s="123"/>
      <c r="AH203" s="123"/>
      <c r="AI203" s="123"/>
      <c r="AJ203" s="123"/>
      <c r="AK203" s="123"/>
      <c r="AL203" s="123"/>
      <c r="AM203" s="123"/>
      <c r="AN203" s="123"/>
      <c r="AO203" s="123"/>
      <c r="AP203" s="123"/>
      <c r="AQ203" s="123"/>
      <c r="AR203" s="123"/>
      <c r="AS203" s="123"/>
      <c r="AT203" s="123"/>
    </row>
    <row r="204" spans="24:46" s="22" customFormat="1">
      <c r="X204" s="123"/>
      <c r="Y204" s="123"/>
      <c r="Z204" s="123"/>
      <c r="AA204" s="123"/>
      <c r="AB204" s="123"/>
      <c r="AD204" s="201"/>
      <c r="AE204" s="201"/>
      <c r="AF204" s="201"/>
      <c r="AG204" s="123"/>
      <c r="AH204" s="123"/>
      <c r="AI204" s="123"/>
      <c r="AJ204" s="123"/>
      <c r="AK204" s="123"/>
      <c r="AL204" s="123"/>
      <c r="AM204" s="123"/>
      <c r="AN204" s="123"/>
      <c r="AO204" s="123"/>
      <c r="AP204" s="123"/>
      <c r="AQ204" s="123"/>
      <c r="AR204" s="123"/>
      <c r="AS204" s="123"/>
      <c r="AT204" s="123"/>
    </row>
    <row r="205" spans="24:46" s="22" customFormat="1">
      <c r="X205" s="123"/>
      <c r="Y205" s="123"/>
      <c r="Z205" s="123"/>
      <c r="AA205" s="123"/>
      <c r="AB205" s="123"/>
      <c r="AD205" s="201"/>
      <c r="AE205" s="201"/>
      <c r="AF205" s="201"/>
      <c r="AG205" s="123"/>
      <c r="AH205" s="123"/>
      <c r="AI205" s="123"/>
      <c r="AJ205" s="123"/>
      <c r="AK205" s="123"/>
      <c r="AL205" s="123"/>
      <c r="AM205" s="123"/>
      <c r="AN205" s="123"/>
      <c r="AO205" s="123"/>
      <c r="AP205" s="123"/>
      <c r="AQ205" s="123"/>
      <c r="AR205" s="123"/>
      <c r="AS205" s="123"/>
      <c r="AT205" s="123"/>
    </row>
    <row r="206" spans="24:46" s="22" customFormat="1">
      <c r="X206" s="123"/>
      <c r="Y206" s="123"/>
      <c r="Z206" s="123"/>
      <c r="AA206" s="123"/>
      <c r="AB206" s="123"/>
      <c r="AD206" s="201"/>
      <c r="AE206" s="201"/>
      <c r="AF206" s="201"/>
      <c r="AG206" s="123"/>
      <c r="AH206" s="123"/>
      <c r="AI206" s="123"/>
      <c r="AJ206" s="123"/>
      <c r="AK206" s="123"/>
      <c r="AL206" s="123"/>
      <c r="AM206" s="123"/>
      <c r="AN206" s="123"/>
      <c r="AO206" s="123"/>
      <c r="AP206" s="123"/>
      <c r="AQ206" s="123"/>
      <c r="AR206" s="123"/>
      <c r="AS206" s="123"/>
      <c r="AT206" s="123"/>
    </row>
    <row r="207" spans="24:46" s="22" customFormat="1">
      <c r="X207" s="123"/>
      <c r="Y207" s="123"/>
      <c r="Z207" s="123"/>
      <c r="AA207" s="123"/>
      <c r="AB207" s="123"/>
      <c r="AD207" s="201"/>
      <c r="AE207" s="201"/>
      <c r="AF207" s="201"/>
      <c r="AG207" s="123"/>
      <c r="AH207" s="123"/>
      <c r="AI207" s="123"/>
      <c r="AJ207" s="123"/>
      <c r="AK207" s="123"/>
      <c r="AL207" s="123"/>
      <c r="AM207" s="123"/>
      <c r="AN207" s="123"/>
      <c r="AO207" s="123"/>
      <c r="AP207" s="123"/>
      <c r="AQ207" s="123"/>
      <c r="AR207" s="123"/>
      <c r="AS207" s="123"/>
      <c r="AT207" s="123"/>
    </row>
    <row r="208" spans="24:46" s="22" customFormat="1">
      <c r="X208" s="123"/>
      <c r="Y208" s="123"/>
      <c r="Z208" s="123"/>
      <c r="AA208" s="123"/>
      <c r="AB208" s="123"/>
      <c r="AD208" s="201"/>
      <c r="AE208" s="201"/>
      <c r="AF208" s="201"/>
      <c r="AG208" s="123"/>
      <c r="AH208" s="123"/>
      <c r="AI208" s="123"/>
      <c r="AJ208" s="123"/>
      <c r="AK208" s="123"/>
      <c r="AL208" s="123"/>
      <c r="AM208" s="123"/>
      <c r="AN208" s="123"/>
      <c r="AO208" s="123"/>
      <c r="AP208" s="123"/>
      <c r="AQ208" s="123"/>
      <c r="AR208" s="123"/>
      <c r="AS208" s="123"/>
      <c r="AT208" s="123"/>
    </row>
    <row r="209" spans="24:46" s="22" customFormat="1">
      <c r="X209" s="123"/>
      <c r="Y209" s="123"/>
      <c r="Z209" s="123"/>
      <c r="AA209" s="123"/>
      <c r="AB209" s="123"/>
      <c r="AD209" s="201"/>
      <c r="AE209" s="201"/>
      <c r="AF209" s="201"/>
      <c r="AG209" s="123"/>
      <c r="AH209" s="123"/>
      <c r="AI209" s="123"/>
      <c r="AJ209" s="123"/>
      <c r="AK209" s="123"/>
      <c r="AL209" s="123"/>
      <c r="AM209" s="123"/>
      <c r="AN209" s="123"/>
      <c r="AO209" s="123"/>
      <c r="AP209" s="123"/>
      <c r="AQ209" s="123"/>
      <c r="AR209" s="123"/>
      <c r="AS209" s="123"/>
      <c r="AT209" s="123"/>
    </row>
  </sheetData>
  <sheetProtection password="C446" sheet="1" objects="1" scenarios="1"/>
  <mergeCells count="19">
    <mergeCell ref="C2:V2"/>
    <mergeCell ref="C7:G7"/>
    <mergeCell ref="C18:G18"/>
    <mergeCell ref="H18:L18"/>
    <mergeCell ref="M18:Q18"/>
    <mergeCell ref="R18:V18"/>
    <mergeCell ref="I7:J7"/>
    <mergeCell ref="K9:L11"/>
    <mergeCell ref="K15:L16"/>
    <mergeCell ref="I15:J15"/>
    <mergeCell ref="K4:L5"/>
    <mergeCell ref="S10:T10"/>
    <mergeCell ref="Q68:V68"/>
    <mergeCell ref="C70:P70"/>
    <mergeCell ref="M12:M16"/>
    <mergeCell ref="E63:L66"/>
    <mergeCell ref="N6:N10"/>
    <mergeCell ref="S14:T16"/>
    <mergeCell ref="K12:L13"/>
  </mergeCells>
  <dataValidations count="3">
    <dataValidation type="list" allowBlank="1" showInputMessage="1" showErrorMessage="1" sqref="E20:E59 IX20:IX59 ST20:ST59 ACP20:ACP59 AML20:AML59 AWH20:AWH59 BGD20:BGD59 BPZ20:BPZ59 BZV20:BZV59 CJR20:CJR59 CTN20:CTN59 DDJ20:DDJ59 DNF20:DNF59 DXB20:DXB59 EGX20:EGX59 EQT20:EQT59 FAP20:FAP59 FKL20:FKL59 FUH20:FUH59 GED20:GED59 GNZ20:GNZ59 GXV20:GXV59 HHR20:HHR59 HRN20:HRN59 IBJ20:IBJ59 ILF20:ILF59 IVB20:IVB59 JEX20:JEX59 JOT20:JOT59 JYP20:JYP59 KIL20:KIL59 KSH20:KSH59 LCD20:LCD59 LLZ20:LLZ59 LVV20:LVV59 MFR20:MFR59 MPN20:MPN59 MZJ20:MZJ59 NJF20:NJF59 NTB20:NTB59 OCX20:OCX59 OMT20:OMT59 OWP20:OWP59 PGL20:PGL59 PQH20:PQH59 QAD20:QAD59 QJZ20:QJZ59 QTV20:QTV59 RDR20:RDR59 RNN20:RNN59 RXJ20:RXJ59 SHF20:SHF59 SRB20:SRB59 TAX20:TAX59 TKT20:TKT59 TUP20:TUP59 UEL20:UEL59 UOH20:UOH59 UYD20:UYD59 VHZ20:VHZ59 VRV20:VRV59 WBR20:WBR59 WLN20:WLN59 WVJ20:WVJ59 E65556:E65595 IX65556:IX65595 ST65556:ST65595 ACP65556:ACP65595 AML65556:AML65595 AWH65556:AWH65595 BGD65556:BGD65595 BPZ65556:BPZ65595 BZV65556:BZV65595 CJR65556:CJR65595 CTN65556:CTN65595 DDJ65556:DDJ65595 DNF65556:DNF65595 DXB65556:DXB65595 EGX65556:EGX65595 EQT65556:EQT65595 FAP65556:FAP65595 FKL65556:FKL65595 FUH65556:FUH65595 GED65556:GED65595 GNZ65556:GNZ65595 GXV65556:GXV65595 HHR65556:HHR65595 HRN65556:HRN65595 IBJ65556:IBJ65595 ILF65556:ILF65595 IVB65556:IVB65595 JEX65556:JEX65595 JOT65556:JOT65595 JYP65556:JYP65595 KIL65556:KIL65595 KSH65556:KSH65595 LCD65556:LCD65595 LLZ65556:LLZ65595 LVV65556:LVV65595 MFR65556:MFR65595 MPN65556:MPN65595 MZJ65556:MZJ65595 NJF65556:NJF65595 NTB65556:NTB65595 OCX65556:OCX65595 OMT65556:OMT65595 OWP65556:OWP65595 PGL65556:PGL65595 PQH65556:PQH65595 QAD65556:QAD65595 QJZ65556:QJZ65595 QTV65556:QTV65595 RDR65556:RDR65595 RNN65556:RNN65595 RXJ65556:RXJ65595 SHF65556:SHF65595 SRB65556:SRB65595 TAX65556:TAX65595 TKT65556:TKT65595 TUP65556:TUP65595 UEL65556:UEL65595 UOH65556:UOH65595 UYD65556:UYD65595 VHZ65556:VHZ65595 VRV65556:VRV65595 WBR65556:WBR65595 WLN65556:WLN65595 WVJ65556:WVJ65595 E131092:E131131 IX131092:IX131131 ST131092:ST131131 ACP131092:ACP131131 AML131092:AML131131 AWH131092:AWH131131 BGD131092:BGD131131 BPZ131092:BPZ131131 BZV131092:BZV131131 CJR131092:CJR131131 CTN131092:CTN131131 DDJ131092:DDJ131131 DNF131092:DNF131131 DXB131092:DXB131131 EGX131092:EGX131131 EQT131092:EQT131131 FAP131092:FAP131131 FKL131092:FKL131131 FUH131092:FUH131131 GED131092:GED131131 GNZ131092:GNZ131131 GXV131092:GXV131131 HHR131092:HHR131131 HRN131092:HRN131131 IBJ131092:IBJ131131 ILF131092:ILF131131 IVB131092:IVB131131 JEX131092:JEX131131 JOT131092:JOT131131 JYP131092:JYP131131 KIL131092:KIL131131 KSH131092:KSH131131 LCD131092:LCD131131 LLZ131092:LLZ131131 LVV131092:LVV131131 MFR131092:MFR131131 MPN131092:MPN131131 MZJ131092:MZJ131131 NJF131092:NJF131131 NTB131092:NTB131131 OCX131092:OCX131131 OMT131092:OMT131131 OWP131092:OWP131131 PGL131092:PGL131131 PQH131092:PQH131131 QAD131092:QAD131131 QJZ131092:QJZ131131 QTV131092:QTV131131 RDR131092:RDR131131 RNN131092:RNN131131 RXJ131092:RXJ131131 SHF131092:SHF131131 SRB131092:SRB131131 TAX131092:TAX131131 TKT131092:TKT131131 TUP131092:TUP131131 UEL131092:UEL131131 UOH131092:UOH131131 UYD131092:UYD131131 VHZ131092:VHZ131131 VRV131092:VRV131131 WBR131092:WBR131131 WLN131092:WLN131131 WVJ131092:WVJ131131 E196628:E196667 IX196628:IX196667 ST196628:ST196667 ACP196628:ACP196667 AML196628:AML196667 AWH196628:AWH196667 BGD196628:BGD196667 BPZ196628:BPZ196667 BZV196628:BZV196667 CJR196628:CJR196667 CTN196628:CTN196667 DDJ196628:DDJ196667 DNF196628:DNF196667 DXB196628:DXB196667 EGX196628:EGX196667 EQT196628:EQT196667 FAP196628:FAP196667 FKL196628:FKL196667 FUH196628:FUH196667 GED196628:GED196667 GNZ196628:GNZ196667 GXV196628:GXV196667 HHR196628:HHR196667 HRN196628:HRN196667 IBJ196628:IBJ196667 ILF196628:ILF196667 IVB196628:IVB196667 JEX196628:JEX196667 JOT196628:JOT196667 JYP196628:JYP196667 KIL196628:KIL196667 KSH196628:KSH196667 LCD196628:LCD196667 LLZ196628:LLZ196667 LVV196628:LVV196667 MFR196628:MFR196667 MPN196628:MPN196667 MZJ196628:MZJ196667 NJF196628:NJF196667 NTB196628:NTB196667 OCX196628:OCX196667 OMT196628:OMT196667 OWP196628:OWP196667 PGL196628:PGL196667 PQH196628:PQH196667 QAD196628:QAD196667 QJZ196628:QJZ196667 QTV196628:QTV196667 RDR196628:RDR196667 RNN196628:RNN196667 RXJ196628:RXJ196667 SHF196628:SHF196667 SRB196628:SRB196667 TAX196628:TAX196667 TKT196628:TKT196667 TUP196628:TUP196667 UEL196628:UEL196667 UOH196628:UOH196667 UYD196628:UYD196667 VHZ196628:VHZ196667 VRV196628:VRV196667 WBR196628:WBR196667 WLN196628:WLN196667 WVJ196628:WVJ196667 E262164:E262203 IX262164:IX262203 ST262164:ST262203 ACP262164:ACP262203 AML262164:AML262203 AWH262164:AWH262203 BGD262164:BGD262203 BPZ262164:BPZ262203 BZV262164:BZV262203 CJR262164:CJR262203 CTN262164:CTN262203 DDJ262164:DDJ262203 DNF262164:DNF262203 DXB262164:DXB262203 EGX262164:EGX262203 EQT262164:EQT262203 FAP262164:FAP262203 FKL262164:FKL262203 FUH262164:FUH262203 GED262164:GED262203 GNZ262164:GNZ262203 GXV262164:GXV262203 HHR262164:HHR262203 HRN262164:HRN262203 IBJ262164:IBJ262203 ILF262164:ILF262203 IVB262164:IVB262203 JEX262164:JEX262203 JOT262164:JOT262203 JYP262164:JYP262203 KIL262164:KIL262203 KSH262164:KSH262203 LCD262164:LCD262203 LLZ262164:LLZ262203 LVV262164:LVV262203 MFR262164:MFR262203 MPN262164:MPN262203 MZJ262164:MZJ262203 NJF262164:NJF262203 NTB262164:NTB262203 OCX262164:OCX262203 OMT262164:OMT262203 OWP262164:OWP262203 PGL262164:PGL262203 PQH262164:PQH262203 QAD262164:QAD262203 QJZ262164:QJZ262203 QTV262164:QTV262203 RDR262164:RDR262203 RNN262164:RNN262203 RXJ262164:RXJ262203 SHF262164:SHF262203 SRB262164:SRB262203 TAX262164:TAX262203 TKT262164:TKT262203 TUP262164:TUP262203 UEL262164:UEL262203 UOH262164:UOH262203 UYD262164:UYD262203 VHZ262164:VHZ262203 VRV262164:VRV262203 WBR262164:WBR262203 WLN262164:WLN262203 WVJ262164:WVJ262203 E327700:E327739 IX327700:IX327739 ST327700:ST327739 ACP327700:ACP327739 AML327700:AML327739 AWH327700:AWH327739 BGD327700:BGD327739 BPZ327700:BPZ327739 BZV327700:BZV327739 CJR327700:CJR327739 CTN327700:CTN327739 DDJ327700:DDJ327739 DNF327700:DNF327739 DXB327700:DXB327739 EGX327700:EGX327739 EQT327700:EQT327739 FAP327700:FAP327739 FKL327700:FKL327739 FUH327700:FUH327739 GED327700:GED327739 GNZ327700:GNZ327739 GXV327700:GXV327739 HHR327700:HHR327739 HRN327700:HRN327739 IBJ327700:IBJ327739 ILF327700:ILF327739 IVB327700:IVB327739 JEX327700:JEX327739 JOT327700:JOT327739 JYP327700:JYP327739 KIL327700:KIL327739 KSH327700:KSH327739 LCD327700:LCD327739 LLZ327700:LLZ327739 LVV327700:LVV327739 MFR327700:MFR327739 MPN327700:MPN327739 MZJ327700:MZJ327739 NJF327700:NJF327739 NTB327700:NTB327739 OCX327700:OCX327739 OMT327700:OMT327739 OWP327700:OWP327739 PGL327700:PGL327739 PQH327700:PQH327739 QAD327700:QAD327739 QJZ327700:QJZ327739 QTV327700:QTV327739 RDR327700:RDR327739 RNN327700:RNN327739 RXJ327700:RXJ327739 SHF327700:SHF327739 SRB327700:SRB327739 TAX327700:TAX327739 TKT327700:TKT327739 TUP327700:TUP327739 UEL327700:UEL327739 UOH327700:UOH327739 UYD327700:UYD327739 VHZ327700:VHZ327739 VRV327700:VRV327739 WBR327700:WBR327739 WLN327700:WLN327739 WVJ327700:WVJ327739 E393236:E393275 IX393236:IX393275 ST393236:ST393275 ACP393236:ACP393275 AML393236:AML393275 AWH393236:AWH393275 BGD393236:BGD393275 BPZ393236:BPZ393275 BZV393236:BZV393275 CJR393236:CJR393275 CTN393236:CTN393275 DDJ393236:DDJ393275 DNF393236:DNF393275 DXB393236:DXB393275 EGX393236:EGX393275 EQT393236:EQT393275 FAP393236:FAP393275 FKL393236:FKL393275 FUH393236:FUH393275 GED393236:GED393275 GNZ393236:GNZ393275 GXV393236:GXV393275 HHR393236:HHR393275 HRN393236:HRN393275 IBJ393236:IBJ393275 ILF393236:ILF393275 IVB393236:IVB393275 JEX393236:JEX393275 JOT393236:JOT393275 JYP393236:JYP393275 KIL393236:KIL393275 KSH393236:KSH393275 LCD393236:LCD393275 LLZ393236:LLZ393275 LVV393236:LVV393275 MFR393236:MFR393275 MPN393236:MPN393275 MZJ393236:MZJ393275 NJF393236:NJF393275 NTB393236:NTB393275 OCX393236:OCX393275 OMT393236:OMT393275 OWP393236:OWP393275 PGL393236:PGL393275 PQH393236:PQH393275 QAD393236:QAD393275 QJZ393236:QJZ393275 QTV393236:QTV393275 RDR393236:RDR393275 RNN393236:RNN393275 RXJ393236:RXJ393275 SHF393236:SHF393275 SRB393236:SRB393275 TAX393236:TAX393275 TKT393236:TKT393275 TUP393236:TUP393275 UEL393236:UEL393275 UOH393236:UOH393275 UYD393236:UYD393275 VHZ393236:VHZ393275 VRV393236:VRV393275 WBR393236:WBR393275 WLN393236:WLN393275 WVJ393236:WVJ393275 E458772:E458811 IX458772:IX458811 ST458772:ST458811 ACP458772:ACP458811 AML458772:AML458811 AWH458772:AWH458811 BGD458772:BGD458811 BPZ458772:BPZ458811 BZV458772:BZV458811 CJR458772:CJR458811 CTN458772:CTN458811 DDJ458772:DDJ458811 DNF458772:DNF458811 DXB458772:DXB458811 EGX458772:EGX458811 EQT458772:EQT458811 FAP458772:FAP458811 FKL458772:FKL458811 FUH458772:FUH458811 GED458772:GED458811 GNZ458772:GNZ458811 GXV458772:GXV458811 HHR458772:HHR458811 HRN458772:HRN458811 IBJ458772:IBJ458811 ILF458772:ILF458811 IVB458772:IVB458811 JEX458772:JEX458811 JOT458772:JOT458811 JYP458772:JYP458811 KIL458772:KIL458811 KSH458772:KSH458811 LCD458772:LCD458811 LLZ458772:LLZ458811 LVV458772:LVV458811 MFR458772:MFR458811 MPN458772:MPN458811 MZJ458772:MZJ458811 NJF458772:NJF458811 NTB458772:NTB458811 OCX458772:OCX458811 OMT458772:OMT458811 OWP458772:OWP458811 PGL458772:PGL458811 PQH458772:PQH458811 QAD458772:QAD458811 QJZ458772:QJZ458811 QTV458772:QTV458811 RDR458772:RDR458811 RNN458772:RNN458811 RXJ458772:RXJ458811 SHF458772:SHF458811 SRB458772:SRB458811 TAX458772:TAX458811 TKT458772:TKT458811 TUP458772:TUP458811 UEL458772:UEL458811 UOH458772:UOH458811 UYD458772:UYD458811 VHZ458772:VHZ458811 VRV458772:VRV458811 WBR458772:WBR458811 WLN458772:WLN458811 WVJ458772:WVJ458811 E524308:E524347 IX524308:IX524347 ST524308:ST524347 ACP524308:ACP524347 AML524308:AML524347 AWH524308:AWH524347 BGD524308:BGD524347 BPZ524308:BPZ524347 BZV524308:BZV524347 CJR524308:CJR524347 CTN524308:CTN524347 DDJ524308:DDJ524347 DNF524308:DNF524347 DXB524308:DXB524347 EGX524308:EGX524347 EQT524308:EQT524347 FAP524308:FAP524347 FKL524308:FKL524347 FUH524308:FUH524347 GED524308:GED524347 GNZ524308:GNZ524347 GXV524308:GXV524347 HHR524308:HHR524347 HRN524308:HRN524347 IBJ524308:IBJ524347 ILF524308:ILF524347 IVB524308:IVB524347 JEX524308:JEX524347 JOT524308:JOT524347 JYP524308:JYP524347 KIL524308:KIL524347 KSH524308:KSH524347 LCD524308:LCD524347 LLZ524308:LLZ524347 LVV524308:LVV524347 MFR524308:MFR524347 MPN524308:MPN524347 MZJ524308:MZJ524347 NJF524308:NJF524347 NTB524308:NTB524347 OCX524308:OCX524347 OMT524308:OMT524347 OWP524308:OWP524347 PGL524308:PGL524347 PQH524308:PQH524347 QAD524308:QAD524347 QJZ524308:QJZ524347 QTV524308:QTV524347 RDR524308:RDR524347 RNN524308:RNN524347 RXJ524308:RXJ524347 SHF524308:SHF524347 SRB524308:SRB524347 TAX524308:TAX524347 TKT524308:TKT524347 TUP524308:TUP524347 UEL524308:UEL524347 UOH524308:UOH524347 UYD524308:UYD524347 VHZ524308:VHZ524347 VRV524308:VRV524347 WBR524308:WBR524347 WLN524308:WLN524347 WVJ524308:WVJ524347 E589844:E589883 IX589844:IX589883 ST589844:ST589883 ACP589844:ACP589883 AML589844:AML589883 AWH589844:AWH589883 BGD589844:BGD589883 BPZ589844:BPZ589883 BZV589844:BZV589883 CJR589844:CJR589883 CTN589844:CTN589883 DDJ589844:DDJ589883 DNF589844:DNF589883 DXB589844:DXB589883 EGX589844:EGX589883 EQT589844:EQT589883 FAP589844:FAP589883 FKL589844:FKL589883 FUH589844:FUH589883 GED589844:GED589883 GNZ589844:GNZ589883 GXV589844:GXV589883 HHR589844:HHR589883 HRN589844:HRN589883 IBJ589844:IBJ589883 ILF589844:ILF589883 IVB589844:IVB589883 JEX589844:JEX589883 JOT589844:JOT589883 JYP589844:JYP589883 KIL589844:KIL589883 KSH589844:KSH589883 LCD589844:LCD589883 LLZ589844:LLZ589883 LVV589844:LVV589883 MFR589844:MFR589883 MPN589844:MPN589883 MZJ589844:MZJ589883 NJF589844:NJF589883 NTB589844:NTB589883 OCX589844:OCX589883 OMT589844:OMT589883 OWP589844:OWP589883 PGL589844:PGL589883 PQH589844:PQH589883 QAD589844:QAD589883 QJZ589844:QJZ589883 QTV589844:QTV589883 RDR589844:RDR589883 RNN589844:RNN589883 RXJ589844:RXJ589883 SHF589844:SHF589883 SRB589844:SRB589883 TAX589844:TAX589883 TKT589844:TKT589883 TUP589844:TUP589883 UEL589844:UEL589883 UOH589844:UOH589883 UYD589844:UYD589883 VHZ589844:VHZ589883 VRV589844:VRV589883 WBR589844:WBR589883 WLN589844:WLN589883 WVJ589844:WVJ589883 E655380:E655419 IX655380:IX655419 ST655380:ST655419 ACP655380:ACP655419 AML655380:AML655419 AWH655380:AWH655419 BGD655380:BGD655419 BPZ655380:BPZ655419 BZV655380:BZV655419 CJR655380:CJR655419 CTN655380:CTN655419 DDJ655380:DDJ655419 DNF655380:DNF655419 DXB655380:DXB655419 EGX655380:EGX655419 EQT655380:EQT655419 FAP655380:FAP655419 FKL655380:FKL655419 FUH655380:FUH655419 GED655380:GED655419 GNZ655380:GNZ655419 GXV655380:GXV655419 HHR655380:HHR655419 HRN655380:HRN655419 IBJ655380:IBJ655419 ILF655380:ILF655419 IVB655380:IVB655419 JEX655380:JEX655419 JOT655380:JOT655419 JYP655380:JYP655419 KIL655380:KIL655419 KSH655380:KSH655419 LCD655380:LCD655419 LLZ655380:LLZ655419 LVV655380:LVV655419 MFR655380:MFR655419 MPN655380:MPN655419 MZJ655380:MZJ655419 NJF655380:NJF655419 NTB655380:NTB655419 OCX655380:OCX655419 OMT655380:OMT655419 OWP655380:OWP655419 PGL655380:PGL655419 PQH655380:PQH655419 QAD655380:QAD655419 QJZ655380:QJZ655419 QTV655380:QTV655419 RDR655380:RDR655419 RNN655380:RNN655419 RXJ655380:RXJ655419 SHF655380:SHF655419 SRB655380:SRB655419 TAX655380:TAX655419 TKT655380:TKT655419 TUP655380:TUP655419 UEL655380:UEL655419 UOH655380:UOH655419 UYD655380:UYD655419 VHZ655380:VHZ655419 VRV655380:VRV655419 WBR655380:WBR655419 WLN655380:WLN655419 WVJ655380:WVJ655419 E720916:E720955 IX720916:IX720955 ST720916:ST720955 ACP720916:ACP720955 AML720916:AML720955 AWH720916:AWH720955 BGD720916:BGD720955 BPZ720916:BPZ720955 BZV720916:BZV720955 CJR720916:CJR720955 CTN720916:CTN720955 DDJ720916:DDJ720955 DNF720916:DNF720955 DXB720916:DXB720955 EGX720916:EGX720955 EQT720916:EQT720955 FAP720916:FAP720955 FKL720916:FKL720955 FUH720916:FUH720955 GED720916:GED720955 GNZ720916:GNZ720955 GXV720916:GXV720955 HHR720916:HHR720955 HRN720916:HRN720955 IBJ720916:IBJ720955 ILF720916:ILF720955 IVB720916:IVB720955 JEX720916:JEX720955 JOT720916:JOT720955 JYP720916:JYP720955 KIL720916:KIL720955 KSH720916:KSH720955 LCD720916:LCD720955 LLZ720916:LLZ720955 LVV720916:LVV720955 MFR720916:MFR720955 MPN720916:MPN720955 MZJ720916:MZJ720955 NJF720916:NJF720955 NTB720916:NTB720955 OCX720916:OCX720955 OMT720916:OMT720955 OWP720916:OWP720955 PGL720916:PGL720955 PQH720916:PQH720955 QAD720916:QAD720955 QJZ720916:QJZ720955 QTV720916:QTV720955 RDR720916:RDR720955 RNN720916:RNN720955 RXJ720916:RXJ720955 SHF720916:SHF720955 SRB720916:SRB720955 TAX720916:TAX720955 TKT720916:TKT720955 TUP720916:TUP720955 UEL720916:UEL720955 UOH720916:UOH720955 UYD720916:UYD720955 VHZ720916:VHZ720955 VRV720916:VRV720955 WBR720916:WBR720955 WLN720916:WLN720955 WVJ720916:WVJ720955 E786452:E786491 IX786452:IX786491 ST786452:ST786491 ACP786452:ACP786491 AML786452:AML786491 AWH786452:AWH786491 BGD786452:BGD786491 BPZ786452:BPZ786491 BZV786452:BZV786491 CJR786452:CJR786491 CTN786452:CTN786491 DDJ786452:DDJ786491 DNF786452:DNF786491 DXB786452:DXB786491 EGX786452:EGX786491 EQT786452:EQT786491 FAP786452:FAP786491 FKL786452:FKL786491 FUH786452:FUH786491 GED786452:GED786491 GNZ786452:GNZ786491 GXV786452:GXV786491 HHR786452:HHR786491 HRN786452:HRN786491 IBJ786452:IBJ786491 ILF786452:ILF786491 IVB786452:IVB786491 JEX786452:JEX786491 JOT786452:JOT786491 JYP786452:JYP786491 KIL786452:KIL786491 KSH786452:KSH786491 LCD786452:LCD786491 LLZ786452:LLZ786491 LVV786452:LVV786491 MFR786452:MFR786491 MPN786452:MPN786491 MZJ786452:MZJ786491 NJF786452:NJF786491 NTB786452:NTB786491 OCX786452:OCX786491 OMT786452:OMT786491 OWP786452:OWP786491 PGL786452:PGL786491 PQH786452:PQH786491 QAD786452:QAD786491 QJZ786452:QJZ786491 QTV786452:QTV786491 RDR786452:RDR786491 RNN786452:RNN786491 RXJ786452:RXJ786491 SHF786452:SHF786491 SRB786452:SRB786491 TAX786452:TAX786491 TKT786452:TKT786491 TUP786452:TUP786491 UEL786452:UEL786491 UOH786452:UOH786491 UYD786452:UYD786491 VHZ786452:VHZ786491 VRV786452:VRV786491 WBR786452:WBR786491 WLN786452:WLN786491 WVJ786452:WVJ786491 E851988:E852027 IX851988:IX852027 ST851988:ST852027 ACP851988:ACP852027 AML851988:AML852027 AWH851988:AWH852027 BGD851988:BGD852027 BPZ851988:BPZ852027 BZV851988:BZV852027 CJR851988:CJR852027 CTN851988:CTN852027 DDJ851988:DDJ852027 DNF851988:DNF852027 DXB851988:DXB852027 EGX851988:EGX852027 EQT851988:EQT852027 FAP851988:FAP852027 FKL851988:FKL852027 FUH851988:FUH852027 GED851988:GED852027 GNZ851988:GNZ852027 GXV851988:GXV852027 HHR851988:HHR852027 HRN851988:HRN852027 IBJ851988:IBJ852027 ILF851988:ILF852027 IVB851988:IVB852027 JEX851988:JEX852027 JOT851988:JOT852027 JYP851988:JYP852027 KIL851988:KIL852027 KSH851988:KSH852027 LCD851988:LCD852027 LLZ851988:LLZ852027 LVV851988:LVV852027 MFR851988:MFR852027 MPN851988:MPN852027 MZJ851988:MZJ852027 NJF851988:NJF852027 NTB851988:NTB852027 OCX851988:OCX852027 OMT851988:OMT852027 OWP851988:OWP852027 PGL851988:PGL852027 PQH851988:PQH852027 QAD851988:QAD852027 QJZ851988:QJZ852027 QTV851988:QTV852027 RDR851988:RDR852027 RNN851988:RNN852027 RXJ851988:RXJ852027 SHF851988:SHF852027 SRB851988:SRB852027 TAX851988:TAX852027 TKT851988:TKT852027 TUP851988:TUP852027 UEL851988:UEL852027 UOH851988:UOH852027 UYD851988:UYD852027 VHZ851988:VHZ852027 VRV851988:VRV852027 WBR851988:WBR852027 WLN851988:WLN852027 WVJ851988:WVJ852027 E917524:E917563 IX917524:IX917563 ST917524:ST917563 ACP917524:ACP917563 AML917524:AML917563 AWH917524:AWH917563 BGD917524:BGD917563 BPZ917524:BPZ917563 BZV917524:BZV917563 CJR917524:CJR917563 CTN917524:CTN917563 DDJ917524:DDJ917563 DNF917524:DNF917563 DXB917524:DXB917563 EGX917524:EGX917563 EQT917524:EQT917563 FAP917524:FAP917563 FKL917524:FKL917563 FUH917524:FUH917563 GED917524:GED917563 GNZ917524:GNZ917563 GXV917524:GXV917563 HHR917524:HHR917563 HRN917524:HRN917563 IBJ917524:IBJ917563 ILF917524:ILF917563 IVB917524:IVB917563 JEX917524:JEX917563 JOT917524:JOT917563 JYP917524:JYP917563 KIL917524:KIL917563 KSH917524:KSH917563 LCD917524:LCD917563 LLZ917524:LLZ917563 LVV917524:LVV917563 MFR917524:MFR917563 MPN917524:MPN917563 MZJ917524:MZJ917563 NJF917524:NJF917563 NTB917524:NTB917563 OCX917524:OCX917563 OMT917524:OMT917563 OWP917524:OWP917563 PGL917524:PGL917563 PQH917524:PQH917563 QAD917524:QAD917563 QJZ917524:QJZ917563 QTV917524:QTV917563 RDR917524:RDR917563 RNN917524:RNN917563 RXJ917524:RXJ917563 SHF917524:SHF917563 SRB917524:SRB917563 TAX917524:TAX917563 TKT917524:TKT917563 TUP917524:TUP917563 UEL917524:UEL917563 UOH917524:UOH917563 UYD917524:UYD917563 VHZ917524:VHZ917563 VRV917524:VRV917563 WBR917524:WBR917563 WLN917524:WLN917563 WVJ917524:WVJ917563 E983060:E983099 IX983060:IX983099 ST983060:ST983099 ACP983060:ACP983099 AML983060:AML983099 AWH983060:AWH983099 BGD983060:BGD983099 BPZ983060:BPZ983099 BZV983060:BZV983099 CJR983060:CJR983099 CTN983060:CTN983099 DDJ983060:DDJ983099 DNF983060:DNF983099 DXB983060:DXB983099 EGX983060:EGX983099 EQT983060:EQT983099 FAP983060:FAP983099 FKL983060:FKL983099 FUH983060:FUH983099 GED983060:GED983099 GNZ983060:GNZ983099 GXV983060:GXV983099 HHR983060:HHR983099 HRN983060:HRN983099 IBJ983060:IBJ983099 ILF983060:ILF983099 IVB983060:IVB983099 JEX983060:JEX983099 JOT983060:JOT983099 JYP983060:JYP983099 KIL983060:KIL983099 KSH983060:KSH983099 LCD983060:LCD983099 LLZ983060:LLZ983099 LVV983060:LVV983099 MFR983060:MFR983099 MPN983060:MPN983099 MZJ983060:MZJ983099 NJF983060:NJF983099 NTB983060:NTB983099 OCX983060:OCX983099 OMT983060:OMT983099 OWP983060:OWP983099 PGL983060:PGL983099 PQH983060:PQH983099 QAD983060:QAD983099 QJZ983060:QJZ983099 QTV983060:QTV983099 RDR983060:RDR983099 RNN983060:RNN983099 RXJ983060:RXJ983099 SHF983060:SHF983099 SRB983060:SRB983099 TAX983060:TAX983099 TKT983060:TKT983099 TUP983060:TUP983099 UEL983060:UEL983099 UOH983060:UOH983099 UYD983060:UYD983099 VHZ983060:VHZ983099 VRV983060:VRV983099 WBR983060:WBR983099 WLN983060:WLN983099 WVJ983060:WVJ983099 J20:J59 JC20:JC59 SY20:SY59 ACU20:ACU59 AMQ20:AMQ59 AWM20:AWM59 BGI20:BGI59 BQE20:BQE59 CAA20:CAA59 CJW20:CJW59 CTS20:CTS59 DDO20:DDO59 DNK20:DNK59 DXG20:DXG59 EHC20:EHC59 EQY20:EQY59 FAU20:FAU59 FKQ20:FKQ59 FUM20:FUM59 GEI20:GEI59 GOE20:GOE59 GYA20:GYA59 HHW20:HHW59 HRS20:HRS59 IBO20:IBO59 ILK20:ILK59 IVG20:IVG59 JFC20:JFC59 JOY20:JOY59 JYU20:JYU59 KIQ20:KIQ59 KSM20:KSM59 LCI20:LCI59 LME20:LME59 LWA20:LWA59 MFW20:MFW59 MPS20:MPS59 MZO20:MZO59 NJK20:NJK59 NTG20:NTG59 ODC20:ODC59 OMY20:OMY59 OWU20:OWU59 PGQ20:PGQ59 PQM20:PQM59 QAI20:QAI59 QKE20:QKE59 QUA20:QUA59 RDW20:RDW59 RNS20:RNS59 RXO20:RXO59 SHK20:SHK59 SRG20:SRG59 TBC20:TBC59 TKY20:TKY59 TUU20:TUU59 UEQ20:UEQ59 UOM20:UOM59 UYI20:UYI59 VIE20:VIE59 VSA20:VSA59 WBW20:WBW59 WLS20:WLS59 WVO20:WVO59 J65556:J65595 JC65556:JC65595 SY65556:SY65595 ACU65556:ACU65595 AMQ65556:AMQ65595 AWM65556:AWM65595 BGI65556:BGI65595 BQE65556:BQE65595 CAA65556:CAA65595 CJW65556:CJW65595 CTS65556:CTS65595 DDO65556:DDO65595 DNK65556:DNK65595 DXG65556:DXG65595 EHC65556:EHC65595 EQY65556:EQY65595 FAU65556:FAU65595 FKQ65556:FKQ65595 FUM65556:FUM65595 GEI65556:GEI65595 GOE65556:GOE65595 GYA65556:GYA65595 HHW65556:HHW65595 HRS65556:HRS65595 IBO65556:IBO65595 ILK65556:ILK65595 IVG65556:IVG65595 JFC65556:JFC65595 JOY65556:JOY65595 JYU65556:JYU65595 KIQ65556:KIQ65595 KSM65556:KSM65595 LCI65556:LCI65595 LME65556:LME65595 LWA65556:LWA65595 MFW65556:MFW65595 MPS65556:MPS65595 MZO65556:MZO65595 NJK65556:NJK65595 NTG65556:NTG65595 ODC65556:ODC65595 OMY65556:OMY65595 OWU65556:OWU65595 PGQ65556:PGQ65595 PQM65556:PQM65595 QAI65556:QAI65595 QKE65556:QKE65595 QUA65556:QUA65595 RDW65556:RDW65595 RNS65556:RNS65595 RXO65556:RXO65595 SHK65556:SHK65595 SRG65556:SRG65595 TBC65556:TBC65595 TKY65556:TKY65595 TUU65556:TUU65595 UEQ65556:UEQ65595 UOM65556:UOM65595 UYI65556:UYI65595 VIE65556:VIE65595 VSA65556:VSA65595 WBW65556:WBW65595 WLS65556:WLS65595 WVO65556:WVO65595 J131092:J131131 JC131092:JC131131 SY131092:SY131131 ACU131092:ACU131131 AMQ131092:AMQ131131 AWM131092:AWM131131 BGI131092:BGI131131 BQE131092:BQE131131 CAA131092:CAA131131 CJW131092:CJW131131 CTS131092:CTS131131 DDO131092:DDO131131 DNK131092:DNK131131 DXG131092:DXG131131 EHC131092:EHC131131 EQY131092:EQY131131 FAU131092:FAU131131 FKQ131092:FKQ131131 FUM131092:FUM131131 GEI131092:GEI131131 GOE131092:GOE131131 GYA131092:GYA131131 HHW131092:HHW131131 HRS131092:HRS131131 IBO131092:IBO131131 ILK131092:ILK131131 IVG131092:IVG131131 JFC131092:JFC131131 JOY131092:JOY131131 JYU131092:JYU131131 KIQ131092:KIQ131131 KSM131092:KSM131131 LCI131092:LCI131131 LME131092:LME131131 LWA131092:LWA131131 MFW131092:MFW131131 MPS131092:MPS131131 MZO131092:MZO131131 NJK131092:NJK131131 NTG131092:NTG131131 ODC131092:ODC131131 OMY131092:OMY131131 OWU131092:OWU131131 PGQ131092:PGQ131131 PQM131092:PQM131131 QAI131092:QAI131131 QKE131092:QKE131131 QUA131092:QUA131131 RDW131092:RDW131131 RNS131092:RNS131131 RXO131092:RXO131131 SHK131092:SHK131131 SRG131092:SRG131131 TBC131092:TBC131131 TKY131092:TKY131131 TUU131092:TUU131131 UEQ131092:UEQ131131 UOM131092:UOM131131 UYI131092:UYI131131 VIE131092:VIE131131 VSA131092:VSA131131 WBW131092:WBW131131 WLS131092:WLS131131 WVO131092:WVO131131 J196628:J196667 JC196628:JC196667 SY196628:SY196667 ACU196628:ACU196667 AMQ196628:AMQ196667 AWM196628:AWM196667 BGI196628:BGI196667 BQE196628:BQE196667 CAA196628:CAA196667 CJW196628:CJW196667 CTS196628:CTS196667 DDO196628:DDO196667 DNK196628:DNK196667 DXG196628:DXG196667 EHC196628:EHC196667 EQY196628:EQY196667 FAU196628:FAU196667 FKQ196628:FKQ196667 FUM196628:FUM196667 GEI196628:GEI196667 GOE196628:GOE196667 GYA196628:GYA196667 HHW196628:HHW196667 HRS196628:HRS196667 IBO196628:IBO196667 ILK196628:ILK196667 IVG196628:IVG196667 JFC196628:JFC196667 JOY196628:JOY196667 JYU196628:JYU196667 KIQ196628:KIQ196667 KSM196628:KSM196667 LCI196628:LCI196667 LME196628:LME196667 LWA196628:LWA196667 MFW196628:MFW196667 MPS196628:MPS196667 MZO196628:MZO196667 NJK196628:NJK196667 NTG196628:NTG196667 ODC196628:ODC196667 OMY196628:OMY196667 OWU196628:OWU196667 PGQ196628:PGQ196667 PQM196628:PQM196667 QAI196628:QAI196667 QKE196628:QKE196667 QUA196628:QUA196667 RDW196628:RDW196667 RNS196628:RNS196667 RXO196628:RXO196667 SHK196628:SHK196667 SRG196628:SRG196667 TBC196628:TBC196667 TKY196628:TKY196667 TUU196628:TUU196667 UEQ196628:UEQ196667 UOM196628:UOM196667 UYI196628:UYI196667 VIE196628:VIE196667 VSA196628:VSA196667 WBW196628:WBW196667 WLS196628:WLS196667 WVO196628:WVO196667 J262164:J262203 JC262164:JC262203 SY262164:SY262203 ACU262164:ACU262203 AMQ262164:AMQ262203 AWM262164:AWM262203 BGI262164:BGI262203 BQE262164:BQE262203 CAA262164:CAA262203 CJW262164:CJW262203 CTS262164:CTS262203 DDO262164:DDO262203 DNK262164:DNK262203 DXG262164:DXG262203 EHC262164:EHC262203 EQY262164:EQY262203 FAU262164:FAU262203 FKQ262164:FKQ262203 FUM262164:FUM262203 GEI262164:GEI262203 GOE262164:GOE262203 GYA262164:GYA262203 HHW262164:HHW262203 HRS262164:HRS262203 IBO262164:IBO262203 ILK262164:ILK262203 IVG262164:IVG262203 JFC262164:JFC262203 JOY262164:JOY262203 JYU262164:JYU262203 KIQ262164:KIQ262203 KSM262164:KSM262203 LCI262164:LCI262203 LME262164:LME262203 LWA262164:LWA262203 MFW262164:MFW262203 MPS262164:MPS262203 MZO262164:MZO262203 NJK262164:NJK262203 NTG262164:NTG262203 ODC262164:ODC262203 OMY262164:OMY262203 OWU262164:OWU262203 PGQ262164:PGQ262203 PQM262164:PQM262203 QAI262164:QAI262203 QKE262164:QKE262203 QUA262164:QUA262203 RDW262164:RDW262203 RNS262164:RNS262203 RXO262164:RXO262203 SHK262164:SHK262203 SRG262164:SRG262203 TBC262164:TBC262203 TKY262164:TKY262203 TUU262164:TUU262203 UEQ262164:UEQ262203 UOM262164:UOM262203 UYI262164:UYI262203 VIE262164:VIE262203 VSA262164:VSA262203 WBW262164:WBW262203 WLS262164:WLS262203 WVO262164:WVO262203 J327700:J327739 JC327700:JC327739 SY327700:SY327739 ACU327700:ACU327739 AMQ327700:AMQ327739 AWM327700:AWM327739 BGI327700:BGI327739 BQE327700:BQE327739 CAA327700:CAA327739 CJW327700:CJW327739 CTS327700:CTS327739 DDO327700:DDO327739 DNK327700:DNK327739 DXG327700:DXG327739 EHC327700:EHC327739 EQY327700:EQY327739 FAU327700:FAU327739 FKQ327700:FKQ327739 FUM327700:FUM327739 GEI327700:GEI327739 GOE327700:GOE327739 GYA327700:GYA327739 HHW327700:HHW327739 HRS327700:HRS327739 IBO327700:IBO327739 ILK327700:ILK327739 IVG327700:IVG327739 JFC327700:JFC327739 JOY327700:JOY327739 JYU327700:JYU327739 KIQ327700:KIQ327739 KSM327700:KSM327739 LCI327700:LCI327739 LME327700:LME327739 LWA327700:LWA327739 MFW327700:MFW327739 MPS327700:MPS327739 MZO327700:MZO327739 NJK327700:NJK327739 NTG327700:NTG327739 ODC327700:ODC327739 OMY327700:OMY327739 OWU327700:OWU327739 PGQ327700:PGQ327739 PQM327700:PQM327739 QAI327700:QAI327739 QKE327700:QKE327739 QUA327700:QUA327739 RDW327700:RDW327739 RNS327700:RNS327739 RXO327700:RXO327739 SHK327700:SHK327739 SRG327700:SRG327739 TBC327700:TBC327739 TKY327700:TKY327739 TUU327700:TUU327739 UEQ327700:UEQ327739 UOM327700:UOM327739 UYI327700:UYI327739 VIE327700:VIE327739 VSA327700:VSA327739 WBW327700:WBW327739 WLS327700:WLS327739 WVO327700:WVO327739 J393236:J393275 JC393236:JC393275 SY393236:SY393275 ACU393236:ACU393275 AMQ393236:AMQ393275 AWM393236:AWM393275 BGI393236:BGI393275 BQE393236:BQE393275 CAA393236:CAA393275 CJW393236:CJW393275 CTS393236:CTS393275 DDO393236:DDO393275 DNK393236:DNK393275 DXG393236:DXG393275 EHC393236:EHC393275 EQY393236:EQY393275 FAU393236:FAU393275 FKQ393236:FKQ393275 FUM393236:FUM393275 GEI393236:GEI393275 GOE393236:GOE393275 GYA393236:GYA393275 HHW393236:HHW393275 HRS393236:HRS393275 IBO393236:IBO393275 ILK393236:ILK393275 IVG393236:IVG393275 JFC393236:JFC393275 JOY393236:JOY393275 JYU393236:JYU393275 KIQ393236:KIQ393275 KSM393236:KSM393275 LCI393236:LCI393275 LME393236:LME393275 LWA393236:LWA393275 MFW393236:MFW393275 MPS393236:MPS393275 MZO393236:MZO393275 NJK393236:NJK393275 NTG393236:NTG393275 ODC393236:ODC393275 OMY393236:OMY393275 OWU393236:OWU393275 PGQ393236:PGQ393275 PQM393236:PQM393275 QAI393236:QAI393275 QKE393236:QKE393275 QUA393236:QUA393275 RDW393236:RDW393275 RNS393236:RNS393275 RXO393236:RXO393275 SHK393236:SHK393275 SRG393236:SRG393275 TBC393236:TBC393275 TKY393236:TKY393275 TUU393236:TUU393275 UEQ393236:UEQ393275 UOM393236:UOM393275 UYI393236:UYI393275 VIE393236:VIE393275 VSA393236:VSA393275 WBW393236:WBW393275 WLS393236:WLS393275 WVO393236:WVO393275 J458772:J458811 JC458772:JC458811 SY458772:SY458811 ACU458772:ACU458811 AMQ458772:AMQ458811 AWM458772:AWM458811 BGI458772:BGI458811 BQE458772:BQE458811 CAA458772:CAA458811 CJW458772:CJW458811 CTS458772:CTS458811 DDO458772:DDO458811 DNK458772:DNK458811 DXG458772:DXG458811 EHC458772:EHC458811 EQY458772:EQY458811 FAU458772:FAU458811 FKQ458772:FKQ458811 FUM458772:FUM458811 GEI458772:GEI458811 GOE458772:GOE458811 GYA458772:GYA458811 HHW458772:HHW458811 HRS458772:HRS458811 IBO458772:IBO458811 ILK458772:ILK458811 IVG458772:IVG458811 JFC458772:JFC458811 JOY458772:JOY458811 JYU458772:JYU458811 KIQ458772:KIQ458811 KSM458772:KSM458811 LCI458772:LCI458811 LME458772:LME458811 LWA458772:LWA458811 MFW458772:MFW458811 MPS458772:MPS458811 MZO458772:MZO458811 NJK458772:NJK458811 NTG458772:NTG458811 ODC458772:ODC458811 OMY458772:OMY458811 OWU458772:OWU458811 PGQ458772:PGQ458811 PQM458772:PQM458811 QAI458772:QAI458811 QKE458772:QKE458811 QUA458772:QUA458811 RDW458772:RDW458811 RNS458772:RNS458811 RXO458772:RXO458811 SHK458772:SHK458811 SRG458772:SRG458811 TBC458772:TBC458811 TKY458772:TKY458811 TUU458772:TUU458811 UEQ458772:UEQ458811 UOM458772:UOM458811 UYI458772:UYI458811 VIE458772:VIE458811 VSA458772:VSA458811 WBW458772:WBW458811 WLS458772:WLS458811 WVO458772:WVO458811 J524308:J524347 JC524308:JC524347 SY524308:SY524347 ACU524308:ACU524347 AMQ524308:AMQ524347 AWM524308:AWM524347 BGI524308:BGI524347 BQE524308:BQE524347 CAA524308:CAA524347 CJW524308:CJW524347 CTS524308:CTS524347 DDO524308:DDO524347 DNK524308:DNK524347 DXG524308:DXG524347 EHC524308:EHC524347 EQY524308:EQY524347 FAU524308:FAU524347 FKQ524308:FKQ524347 FUM524308:FUM524347 GEI524308:GEI524347 GOE524308:GOE524347 GYA524308:GYA524347 HHW524308:HHW524347 HRS524308:HRS524347 IBO524308:IBO524347 ILK524308:ILK524347 IVG524308:IVG524347 JFC524308:JFC524347 JOY524308:JOY524347 JYU524308:JYU524347 KIQ524308:KIQ524347 KSM524308:KSM524347 LCI524308:LCI524347 LME524308:LME524347 LWA524308:LWA524347 MFW524308:MFW524347 MPS524308:MPS524347 MZO524308:MZO524347 NJK524308:NJK524347 NTG524308:NTG524347 ODC524308:ODC524347 OMY524308:OMY524347 OWU524308:OWU524347 PGQ524308:PGQ524347 PQM524308:PQM524347 QAI524308:QAI524347 QKE524308:QKE524347 QUA524308:QUA524347 RDW524308:RDW524347 RNS524308:RNS524347 RXO524308:RXO524347 SHK524308:SHK524347 SRG524308:SRG524347 TBC524308:TBC524347 TKY524308:TKY524347 TUU524308:TUU524347 UEQ524308:UEQ524347 UOM524308:UOM524347 UYI524308:UYI524347 VIE524308:VIE524347 VSA524308:VSA524347 WBW524308:WBW524347 WLS524308:WLS524347 WVO524308:WVO524347 J589844:J589883 JC589844:JC589883 SY589844:SY589883 ACU589844:ACU589883 AMQ589844:AMQ589883 AWM589844:AWM589883 BGI589844:BGI589883 BQE589844:BQE589883 CAA589844:CAA589883 CJW589844:CJW589883 CTS589844:CTS589883 DDO589844:DDO589883 DNK589844:DNK589883 DXG589844:DXG589883 EHC589844:EHC589883 EQY589844:EQY589883 FAU589844:FAU589883 FKQ589844:FKQ589883 FUM589844:FUM589883 GEI589844:GEI589883 GOE589844:GOE589883 GYA589844:GYA589883 HHW589844:HHW589883 HRS589844:HRS589883 IBO589844:IBO589883 ILK589844:ILK589883 IVG589844:IVG589883 JFC589844:JFC589883 JOY589844:JOY589883 JYU589844:JYU589883 KIQ589844:KIQ589883 KSM589844:KSM589883 LCI589844:LCI589883 LME589844:LME589883 LWA589844:LWA589883 MFW589844:MFW589883 MPS589844:MPS589883 MZO589844:MZO589883 NJK589844:NJK589883 NTG589844:NTG589883 ODC589844:ODC589883 OMY589844:OMY589883 OWU589844:OWU589883 PGQ589844:PGQ589883 PQM589844:PQM589883 QAI589844:QAI589883 QKE589844:QKE589883 QUA589844:QUA589883 RDW589844:RDW589883 RNS589844:RNS589883 RXO589844:RXO589883 SHK589844:SHK589883 SRG589844:SRG589883 TBC589844:TBC589883 TKY589844:TKY589883 TUU589844:TUU589883 UEQ589844:UEQ589883 UOM589844:UOM589883 UYI589844:UYI589883 VIE589844:VIE589883 VSA589844:VSA589883 WBW589844:WBW589883 WLS589844:WLS589883 WVO589844:WVO589883 J655380:J655419 JC655380:JC655419 SY655380:SY655419 ACU655380:ACU655419 AMQ655380:AMQ655419 AWM655380:AWM655419 BGI655380:BGI655419 BQE655380:BQE655419 CAA655380:CAA655419 CJW655380:CJW655419 CTS655380:CTS655419 DDO655380:DDO655419 DNK655380:DNK655419 DXG655380:DXG655419 EHC655380:EHC655419 EQY655380:EQY655419 FAU655380:FAU655419 FKQ655380:FKQ655419 FUM655380:FUM655419 GEI655380:GEI655419 GOE655380:GOE655419 GYA655380:GYA655419 HHW655380:HHW655419 HRS655380:HRS655419 IBO655380:IBO655419 ILK655380:ILK655419 IVG655380:IVG655419 JFC655380:JFC655419 JOY655380:JOY655419 JYU655380:JYU655419 KIQ655380:KIQ655419 KSM655380:KSM655419 LCI655380:LCI655419 LME655380:LME655419 LWA655380:LWA655419 MFW655380:MFW655419 MPS655380:MPS655419 MZO655380:MZO655419 NJK655380:NJK655419 NTG655380:NTG655419 ODC655380:ODC655419 OMY655380:OMY655419 OWU655380:OWU655419 PGQ655380:PGQ655419 PQM655380:PQM655419 QAI655380:QAI655419 QKE655380:QKE655419 QUA655380:QUA655419 RDW655380:RDW655419 RNS655380:RNS655419 RXO655380:RXO655419 SHK655380:SHK655419 SRG655380:SRG655419 TBC655380:TBC655419 TKY655380:TKY655419 TUU655380:TUU655419 UEQ655380:UEQ655419 UOM655380:UOM655419 UYI655380:UYI655419 VIE655380:VIE655419 VSA655380:VSA655419 WBW655380:WBW655419 WLS655380:WLS655419 WVO655380:WVO655419 J720916:J720955 JC720916:JC720955 SY720916:SY720955 ACU720916:ACU720955 AMQ720916:AMQ720955 AWM720916:AWM720955 BGI720916:BGI720955 BQE720916:BQE720955 CAA720916:CAA720955 CJW720916:CJW720955 CTS720916:CTS720955 DDO720916:DDO720955 DNK720916:DNK720955 DXG720916:DXG720955 EHC720916:EHC720955 EQY720916:EQY720955 FAU720916:FAU720955 FKQ720916:FKQ720955 FUM720916:FUM720955 GEI720916:GEI720955 GOE720916:GOE720955 GYA720916:GYA720955 HHW720916:HHW720955 HRS720916:HRS720955 IBO720916:IBO720955 ILK720916:ILK720955 IVG720916:IVG720955 JFC720916:JFC720955 JOY720916:JOY720955 JYU720916:JYU720955 KIQ720916:KIQ720955 KSM720916:KSM720955 LCI720916:LCI720955 LME720916:LME720955 LWA720916:LWA720955 MFW720916:MFW720955 MPS720916:MPS720955 MZO720916:MZO720955 NJK720916:NJK720955 NTG720916:NTG720955 ODC720916:ODC720955 OMY720916:OMY720955 OWU720916:OWU720955 PGQ720916:PGQ720955 PQM720916:PQM720955 QAI720916:QAI720955 QKE720916:QKE720955 QUA720916:QUA720955 RDW720916:RDW720955 RNS720916:RNS720955 RXO720916:RXO720955 SHK720916:SHK720955 SRG720916:SRG720955 TBC720916:TBC720955 TKY720916:TKY720955 TUU720916:TUU720955 UEQ720916:UEQ720955 UOM720916:UOM720955 UYI720916:UYI720955 VIE720916:VIE720955 VSA720916:VSA720955 WBW720916:WBW720955 WLS720916:WLS720955 WVO720916:WVO720955 J786452:J786491 JC786452:JC786491 SY786452:SY786491 ACU786452:ACU786491 AMQ786452:AMQ786491 AWM786452:AWM786491 BGI786452:BGI786491 BQE786452:BQE786491 CAA786452:CAA786491 CJW786452:CJW786491 CTS786452:CTS786491 DDO786452:DDO786491 DNK786452:DNK786491 DXG786452:DXG786491 EHC786452:EHC786491 EQY786452:EQY786491 FAU786452:FAU786491 FKQ786452:FKQ786491 FUM786452:FUM786491 GEI786452:GEI786491 GOE786452:GOE786491 GYA786452:GYA786491 HHW786452:HHW786491 HRS786452:HRS786491 IBO786452:IBO786491 ILK786452:ILK786491 IVG786452:IVG786491 JFC786452:JFC786491 JOY786452:JOY786491 JYU786452:JYU786491 KIQ786452:KIQ786491 KSM786452:KSM786491 LCI786452:LCI786491 LME786452:LME786491 LWA786452:LWA786491 MFW786452:MFW786491 MPS786452:MPS786491 MZO786452:MZO786491 NJK786452:NJK786491 NTG786452:NTG786491 ODC786452:ODC786491 OMY786452:OMY786491 OWU786452:OWU786491 PGQ786452:PGQ786491 PQM786452:PQM786491 QAI786452:QAI786491 QKE786452:QKE786491 QUA786452:QUA786491 RDW786452:RDW786491 RNS786452:RNS786491 RXO786452:RXO786491 SHK786452:SHK786491 SRG786452:SRG786491 TBC786452:TBC786491 TKY786452:TKY786491 TUU786452:TUU786491 UEQ786452:UEQ786491 UOM786452:UOM786491 UYI786452:UYI786491 VIE786452:VIE786491 VSA786452:VSA786491 WBW786452:WBW786491 WLS786452:WLS786491 WVO786452:WVO786491 J851988:J852027 JC851988:JC852027 SY851988:SY852027 ACU851988:ACU852027 AMQ851988:AMQ852027 AWM851988:AWM852027 BGI851988:BGI852027 BQE851988:BQE852027 CAA851988:CAA852027 CJW851988:CJW852027 CTS851988:CTS852027 DDO851988:DDO852027 DNK851988:DNK852027 DXG851988:DXG852027 EHC851988:EHC852027 EQY851988:EQY852027 FAU851988:FAU852027 FKQ851988:FKQ852027 FUM851988:FUM852027 GEI851988:GEI852027 GOE851988:GOE852027 GYA851988:GYA852027 HHW851988:HHW852027 HRS851988:HRS852027 IBO851988:IBO852027 ILK851988:ILK852027 IVG851988:IVG852027 JFC851988:JFC852027 JOY851988:JOY852027 JYU851988:JYU852027 KIQ851988:KIQ852027 KSM851988:KSM852027 LCI851988:LCI852027 LME851988:LME852027 LWA851988:LWA852027 MFW851988:MFW852027 MPS851988:MPS852027 MZO851988:MZO852027 NJK851988:NJK852027 NTG851988:NTG852027 ODC851988:ODC852027 OMY851988:OMY852027 OWU851988:OWU852027 PGQ851988:PGQ852027 PQM851988:PQM852027 QAI851988:QAI852027 QKE851988:QKE852027 QUA851988:QUA852027 RDW851988:RDW852027 RNS851988:RNS852027 RXO851988:RXO852027 SHK851988:SHK852027 SRG851988:SRG852027 TBC851988:TBC852027 TKY851988:TKY852027 TUU851988:TUU852027 UEQ851988:UEQ852027 UOM851988:UOM852027 UYI851988:UYI852027 VIE851988:VIE852027 VSA851988:VSA852027 WBW851988:WBW852027 WLS851988:WLS852027 WVO851988:WVO852027 J917524:J917563 JC917524:JC917563 SY917524:SY917563 ACU917524:ACU917563 AMQ917524:AMQ917563 AWM917524:AWM917563 BGI917524:BGI917563 BQE917524:BQE917563 CAA917524:CAA917563 CJW917524:CJW917563 CTS917524:CTS917563 DDO917524:DDO917563 DNK917524:DNK917563 DXG917524:DXG917563 EHC917524:EHC917563 EQY917524:EQY917563 FAU917524:FAU917563 FKQ917524:FKQ917563 FUM917524:FUM917563 GEI917524:GEI917563 GOE917524:GOE917563 GYA917524:GYA917563 HHW917524:HHW917563 HRS917524:HRS917563 IBO917524:IBO917563 ILK917524:ILK917563 IVG917524:IVG917563 JFC917524:JFC917563 JOY917524:JOY917563 JYU917524:JYU917563 KIQ917524:KIQ917563 KSM917524:KSM917563 LCI917524:LCI917563 LME917524:LME917563 LWA917524:LWA917563 MFW917524:MFW917563 MPS917524:MPS917563 MZO917524:MZO917563 NJK917524:NJK917563 NTG917524:NTG917563 ODC917524:ODC917563 OMY917524:OMY917563 OWU917524:OWU917563 PGQ917524:PGQ917563 PQM917524:PQM917563 QAI917524:QAI917563 QKE917524:QKE917563 QUA917524:QUA917563 RDW917524:RDW917563 RNS917524:RNS917563 RXO917524:RXO917563 SHK917524:SHK917563 SRG917524:SRG917563 TBC917524:TBC917563 TKY917524:TKY917563 TUU917524:TUU917563 UEQ917524:UEQ917563 UOM917524:UOM917563 UYI917524:UYI917563 VIE917524:VIE917563 VSA917524:VSA917563 WBW917524:WBW917563 WLS917524:WLS917563 WVO917524:WVO917563 J983060:J983099 JC983060:JC983099 SY983060:SY983099 ACU983060:ACU983099 AMQ983060:AMQ983099 AWM983060:AWM983099 BGI983060:BGI983099 BQE983060:BQE983099 CAA983060:CAA983099 CJW983060:CJW983099 CTS983060:CTS983099 DDO983060:DDO983099 DNK983060:DNK983099 DXG983060:DXG983099 EHC983060:EHC983099 EQY983060:EQY983099 FAU983060:FAU983099 FKQ983060:FKQ983099 FUM983060:FUM983099 GEI983060:GEI983099 GOE983060:GOE983099 GYA983060:GYA983099 HHW983060:HHW983099 HRS983060:HRS983099 IBO983060:IBO983099 ILK983060:ILK983099 IVG983060:IVG983099 JFC983060:JFC983099 JOY983060:JOY983099 JYU983060:JYU983099 KIQ983060:KIQ983099 KSM983060:KSM983099 LCI983060:LCI983099 LME983060:LME983099 LWA983060:LWA983099 MFW983060:MFW983099 MPS983060:MPS983099 MZO983060:MZO983099 NJK983060:NJK983099 NTG983060:NTG983099 ODC983060:ODC983099 OMY983060:OMY983099 OWU983060:OWU983099 PGQ983060:PGQ983099 PQM983060:PQM983099 QAI983060:QAI983099 QKE983060:QKE983099 QUA983060:QUA983099 RDW983060:RDW983099 RNS983060:RNS983099 RXO983060:RXO983099 SHK983060:SHK983099 SRG983060:SRG983099 TBC983060:TBC983099 TKY983060:TKY983099 TUU983060:TUU983099 UEQ983060:UEQ983099 UOM983060:UOM983099 UYI983060:UYI983099 VIE983060:VIE983099 VSA983060:VSA983099 WBW983060:WBW983099 WLS983060:WLS983099 WVO983060:WVO983099 O20:O59 JH20:JH59 TD20:TD59 ACZ20:ACZ59 AMV20:AMV59 AWR20:AWR59 BGN20:BGN59 BQJ20:BQJ59 CAF20:CAF59 CKB20:CKB59 CTX20:CTX59 DDT20:DDT59 DNP20:DNP59 DXL20:DXL59 EHH20:EHH59 ERD20:ERD59 FAZ20:FAZ59 FKV20:FKV59 FUR20:FUR59 GEN20:GEN59 GOJ20:GOJ59 GYF20:GYF59 HIB20:HIB59 HRX20:HRX59 IBT20:IBT59 ILP20:ILP59 IVL20:IVL59 JFH20:JFH59 JPD20:JPD59 JYZ20:JYZ59 KIV20:KIV59 KSR20:KSR59 LCN20:LCN59 LMJ20:LMJ59 LWF20:LWF59 MGB20:MGB59 MPX20:MPX59 MZT20:MZT59 NJP20:NJP59 NTL20:NTL59 ODH20:ODH59 OND20:OND59 OWZ20:OWZ59 PGV20:PGV59 PQR20:PQR59 QAN20:QAN59 QKJ20:QKJ59 QUF20:QUF59 REB20:REB59 RNX20:RNX59 RXT20:RXT59 SHP20:SHP59 SRL20:SRL59 TBH20:TBH59 TLD20:TLD59 TUZ20:TUZ59 UEV20:UEV59 UOR20:UOR59 UYN20:UYN59 VIJ20:VIJ59 VSF20:VSF59 WCB20:WCB59 WLX20:WLX59 WVT20:WVT59 O65556:O65595 JH65556:JH65595 TD65556:TD65595 ACZ65556:ACZ65595 AMV65556:AMV65595 AWR65556:AWR65595 BGN65556:BGN65595 BQJ65556:BQJ65595 CAF65556:CAF65595 CKB65556:CKB65595 CTX65556:CTX65595 DDT65556:DDT65595 DNP65556:DNP65595 DXL65556:DXL65595 EHH65556:EHH65595 ERD65556:ERD65595 FAZ65556:FAZ65595 FKV65556:FKV65595 FUR65556:FUR65595 GEN65556:GEN65595 GOJ65556:GOJ65595 GYF65556:GYF65595 HIB65556:HIB65595 HRX65556:HRX65595 IBT65556:IBT65595 ILP65556:ILP65595 IVL65556:IVL65595 JFH65556:JFH65595 JPD65556:JPD65595 JYZ65556:JYZ65595 KIV65556:KIV65595 KSR65556:KSR65595 LCN65556:LCN65595 LMJ65556:LMJ65595 LWF65556:LWF65595 MGB65556:MGB65595 MPX65556:MPX65595 MZT65556:MZT65595 NJP65556:NJP65595 NTL65556:NTL65595 ODH65556:ODH65595 OND65556:OND65595 OWZ65556:OWZ65595 PGV65556:PGV65595 PQR65556:PQR65595 QAN65556:QAN65595 QKJ65556:QKJ65595 QUF65556:QUF65595 REB65556:REB65595 RNX65556:RNX65595 RXT65556:RXT65595 SHP65556:SHP65595 SRL65556:SRL65595 TBH65556:TBH65595 TLD65556:TLD65595 TUZ65556:TUZ65595 UEV65556:UEV65595 UOR65556:UOR65595 UYN65556:UYN65595 VIJ65556:VIJ65595 VSF65556:VSF65595 WCB65556:WCB65595 WLX65556:WLX65595 WVT65556:WVT65595 O131092:O131131 JH131092:JH131131 TD131092:TD131131 ACZ131092:ACZ131131 AMV131092:AMV131131 AWR131092:AWR131131 BGN131092:BGN131131 BQJ131092:BQJ131131 CAF131092:CAF131131 CKB131092:CKB131131 CTX131092:CTX131131 DDT131092:DDT131131 DNP131092:DNP131131 DXL131092:DXL131131 EHH131092:EHH131131 ERD131092:ERD131131 FAZ131092:FAZ131131 FKV131092:FKV131131 FUR131092:FUR131131 GEN131092:GEN131131 GOJ131092:GOJ131131 GYF131092:GYF131131 HIB131092:HIB131131 HRX131092:HRX131131 IBT131092:IBT131131 ILP131092:ILP131131 IVL131092:IVL131131 JFH131092:JFH131131 JPD131092:JPD131131 JYZ131092:JYZ131131 KIV131092:KIV131131 KSR131092:KSR131131 LCN131092:LCN131131 LMJ131092:LMJ131131 LWF131092:LWF131131 MGB131092:MGB131131 MPX131092:MPX131131 MZT131092:MZT131131 NJP131092:NJP131131 NTL131092:NTL131131 ODH131092:ODH131131 OND131092:OND131131 OWZ131092:OWZ131131 PGV131092:PGV131131 PQR131092:PQR131131 QAN131092:QAN131131 QKJ131092:QKJ131131 QUF131092:QUF131131 REB131092:REB131131 RNX131092:RNX131131 RXT131092:RXT131131 SHP131092:SHP131131 SRL131092:SRL131131 TBH131092:TBH131131 TLD131092:TLD131131 TUZ131092:TUZ131131 UEV131092:UEV131131 UOR131092:UOR131131 UYN131092:UYN131131 VIJ131092:VIJ131131 VSF131092:VSF131131 WCB131092:WCB131131 WLX131092:WLX131131 WVT131092:WVT131131 O196628:O196667 JH196628:JH196667 TD196628:TD196667 ACZ196628:ACZ196667 AMV196628:AMV196667 AWR196628:AWR196667 BGN196628:BGN196667 BQJ196628:BQJ196667 CAF196628:CAF196667 CKB196628:CKB196667 CTX196628:CTX196667 DDT196628:DDT196667 DNP196628:DNP196667 DXL196628:DXL196667 EHH196628:EHH196667 ERD196628:ERD196667 FAZ196628:FAZ196667 FKV196628:FKV196667 FUR196628:FUR196667 GEN196628:GEN196667 GOJ196628:GOJ196667 GYF196628:GYF196667 HIB196628:HIB196667 HRX196628:HRX196667 IBT196628:IBT196667 ILP196628:ILP196667 IVL196628:IVL196667 JFH196628:JFH196667 JPD196628:JPD196667 JYZ196628:JYZ196667 KIV196628:KIV196667 KSR196628:KSR196667 LCN196628:LCN196667 LMJ196628:LMJ196667 LWF196628:LWF196667 MGB196628:MGB196667 MPX196628:MPX196667 MZT196628:MZT196667 NJP196628:NJP196667 NTL196628:NTL196667 ODH196628:ODH196667 OND196628:OND196667 OWZ196628:OWZ196667 PGV196628:PGV196667 PQR196628:PQR196667 QAN196628:QAN196667 QKJ196628:QKJ196667 QUF196628:QUF196667 REB196628:REB196667 RNX196628:RNX196667 RXT196628:RXT196667 SHP196628:SHP196667 SRL196628:SRL196667 TBH196628:TBH196667 TLD196628:TLD196667 TUZ196628:TUZ196667 UEV196628:UEV196667 UOR196628:UOR196667 UYN196628:UYN196667 VIJ196628:VIJ196667 VSF196628:VSF196667 WCB196628:WCB196667 WLX196628:WLX196667 WVT196628:WVT196667 O262164:O262203 JH262164:JH262203 TD262164:TD262203 ACZ262164:ACZ262203 AMV262164:AMV262203 AWR262164:AWR262203 BGN262164:BGN262203 BQJ262164:BQJ262203 CAF262164:CAF262203 CKB262164:CKB262203 CTX262164:CTX262203 DDT262164:DDT262203 DNP262164:DNP262203 DXL262164:DXL262203 EHH262164:EHH262203 ERD262164:ERD262203 FAZ262164:FAZ262203 FKV262164:FKV262203 FUR262164:FUR262203 GEN262164:GEN262203 GOJ262164:GOJ262203 GYF262164:GYF262203 HIB262164:HIB262203 HRX262164:HRX262203 IBT262164:IBT262203 ILP262164:ILP262203 IVL262164:IVL262203 JFH262164:JFH262203 JPD262164:JPD262203 JYZ262164:JYZ262203 KIV262164:KIV262203 KSR262164:KSR262203 LCN262164:LCN262203 LMJ262164:LMJ262203 LWF262164:LWF262203 MGB262164:MGB262203 MPX262164:MPX262203 MZT262164:MZT262203 NJP262164:NJP262203 NTL262164:NTL262203 ODH262164:ODH262203 OND262164:OND262203 OWZ262164:OWZ262203 PGV262164:PGV262203 PQR262164:PQR262203 QAN262164:QAN262203 QKJ262164:QKJ262203 QUF262164:QUF262203 REB262164:REB262203 RNX262164:RNX262203 RXT262164:RXT262203 SHP262164:SHP262203 SRL262164:SRL262203 TBH262164:TBH262203 TLD262164:TLD262203 TUZ262164:TUZ262203 UEV262164:UEV262203 UOR262164:UOR262203 UYN262164:UYN262203 VIJ262164:VIJ262203 VSF262164:VSF262203 WCB262164:WCB262203 WLX262164:WLX262203 WVT262164:WVT262203 O327700:O327739 JH327700:JH327739 TD327700:TD327739 ACZ327700:ACZ327739 AMV327700:AMV327739 AWR327700:AWR327739 BGN327700:BGN327739 BQJ327700:BQJ327739 CAF327700:CAF327739 CKB327700:CKB327739 CTX327700:CTX327739 DDT327700:DDT327739 DNP327700:DNP327739 DXL327700:DXL327739 EHH327700:EHH327739 ERD327700:ERD327739 FAZ327700:FAZ327739 FKV327700:FKV327739 FUR327700:FUR327739 GEN327700:GEN327739 GOJ327700:GOJ327739 GYF327700:GYF327739 HIB327700:HIB327739 HRX327700:HRX327739 IBT327700:IBT327739 ILP327700:ILP327739 IVL327700:IVL327739 JFH327700:JFH327739 JPD327700:JPD327739 JYZ327700:JYZ327739 KIV327700:KIV327739 KSR327700:KSR327739 LCN327700:LCN327739 LMJ327700:LMJ327739 LWF327700:LWF327739 MGB327700:MGB327739 MPX327700:MPX327739 MZT327700:MZT327739 NJP327700:NJP327739 NTL327700:NTL327739 ODH327700:ODH327739 OND327700:OND327739 OWZ327700:OWZ327739 PGV327700:PGV327739 PQR327700:PQR327739 QAN327700:QAN327739 QKJ327700:QKJ327739 QUF327700:QUF327739 REB327700:REB327739 RNX327700:RNX327739 RXT327700:RXT327739 SHP327700:SHP327739 SRL327700:SRL327739 TBH327700:TBH327739 TLD327700:TLD327739 TUZ327700:TUZ327739 UEV327700:UEV327739 UOR327700:UOR327739 UYN327700:UYN327739 VIJ327700:VIJ327739 VSF327700:VSF327739 WCB327700:WCB327739 WLX327700:WLX327739 WVT327700:WVT327739 O393236:O393275 JH393236:JH393275 TD393236:TD393275 ACZ393236:ACZ393275 AMV393236:AMV393275 AWR393236:AWR393275 BGN393236:BGN393275 BQJ393236:BQJ393275 CAF393236:CAF393275 CKB393236:CKB393275 CTX393236:CTX393275 DDT393236:DDT393275 DNP393236:DNP393275 DXL393236:DXL393275 EHH393236:EHH393275 ERD393236:ERD393275 FAZ393236:FAZ393275 FKV393236:FKV393275 FUR393236:FUR393275 GEN393236:GEN393275 GOJ393236:GOJ393275 GYF393236:GYF393275 HIB393236:HIB393275 HRX393236:HRX393275 IBT393236:IBT393275 ILP393236:ILP393275 IVL393236:IVL393275 JFH393236:JFH393275 JPD393236:JPD393275 JYZ393236:JYZ393275 KIV393236:KIV393275 KSR393236:KSR393275 LCN393236:LCN393275 LMJ393236:LMJ393275 LWF393236:LWF393275 MGB393236:MGB393275 MPX393236:MPX393275 MZT393236:MZT393275 NJP393236:NJP393275 NTL393236:NTL393275 ODH393236:ODH393275 OND393236:OND393275 OWZ393236:OWZ393275 PGV393236:PGV393275 PQR393236:PQR393275 QAN393236:QAN393275 QKJ393236:QKJ393275 QUF393236:QUF393275 REB393236:REB393275 RNX393236:RNX393275 RXT393236:RXT393275 SHP393236:SHP393275 SRL393236:SRL393275 TBH393236:TBH393275 TLD393236:TLD393275 TUZ393236:TUZ393275 UEV393236:UEV393275 UOR393236:UOR393275 UYN393236:UYN393275 VIJ393236:VIJ393275 VSF393236:VSF393275 WCB393236:WCB393275 WLX393236:WLX393275 WVT393236:WVT393275 O458772:O458811 JH458772:JH458811 TD458772:TD458811 ACZ458772:ACZ458811 AMV458772:AMV458811 AWR458772:AWR458811 BGN458772:BGN458811 BQJ458772:BQJ458811 CAF458772:CAF458811 CKB458772:CKB458811 CTX458772:CTX458811 DDT458772:DDT458811 DNP458772:DNP458811 DXL458772:DXL458811 EHH458772:EHH458811 ERD458772:ERD458811 FAZ458772:FAZ458811 FKV458772:FKV458811 FUR458772:FUR458811 GEN458772:GEN458811 GOJ458772:GOJ458811 GYF458772:GYF458811 HIB458772:HIB458811 HRX458772:HRX458811 IBT458772:IBT458811 ILP458772:ILP458811 IVL458772:IVL458811 JFH458772:JFH458811 JPD458772:JPD458811 JYZ458772:JYZ458811 KIV458772:KIV458811 KSR458772:KSR458811 LCN458772:LCN458811 LMJ458772:LMJ458811 LWF458772:LWF458811 MGB458772:MGB458811 MPX458772:MPX458811 MZT458772:MZT458811 NJP458772:NJP458811 NTL458772:NTL458811 ODH458772:ODH458811 OND458772:OND458811 OWZ458772:OWZ458811 PGV458772:PGV458811 PQR458772:PQR458811 QAN458772:QAN458811 QKJ458772:QKJ458811 QUF458772:QUF458811 REB458772:REB458811 RNX458772:RNX458811 RXT458772:RXT458811 SHP458772:SHP458811 SRL458772:SRL458811 TBH458772:TBH458811 TLD458772:TLD458811 TUZ458772:TUZ458811 UEV458772:UEV458811 UOR458772:UOR458811 UYN458772:UYN458811 VIJ458772:VIJ458811 VSF458772:VSF458811 WCB458772:WCB458811 WLX458772:WLX458811 WVT458772:WVT458811 O524308:O524347 JH524308:JH524347 TD524308:TD524347 ACZ524308:ACZ524347 AMV524308:AMV524347 AWR524308:AWR524347 BGN524308:BGN524347 BQJ524308:BQJ524347 CAF524308:CAF524347 CKB524308:CKB524347 CTX524308:CTX524347 DDT524308:DDT524347 DNP524308:DNP524347 DXL524308:DXL524347 EHH524308:EHH524347 ERD524308:ERD524347 FAZ524308:FAZ524347 FKV524308:FKV524347 FUR524308:FUR524347 GEN524308:GEN524347 GOJ524308:GOJ524347 GYF524308:GYF524347 HIB524308:HIB524347 HRX524308:HRX524347 IBT524308:IBT524347 ILP524308:ILP524347 IVL524308:IVL524347 JFH524308:JFH524347 JPD524308:JPD524347 JYZ524308:JYZ524347 KIV524308:KIV524347 KSR524308:KSR524347 LCN524308:LCN524347 LMJ524308:LMJ524347 LWF524308:LWF524347 MGB524308:MGB524347 MPX524308:MPX524347 MZT524308:MZT524347 NJP524308:NJP524347 NTL524308:NTL524347 ODH524308:ODH524347 OND524308:OND524347 OWZ524308:OWZ524347 PGV524308:PGV524347 PQR524308:PQR524347 QAN524308:QAN524347 QKJ524308:QKJ524347 QUF524308:QUF524347 REB524308:REB524347 RNX524308:RNX524347 RXT524308:RXT524347 SHP524308:SHP524347 SRL524308:SRL524347 TBH524308:TBH524347 TLD524308:TLD524347 TUZ524308:TUZ524347 UEV524308:UEV524347 UOR524308:UOR524347 UYN524308:UYN524347 VIJ524308:VIJ524347 VSF524308:VSF524347 WCB524308:WCB524347 WLX524308:WLX524347 WVT524308:WVT524347 O589844:O589883 JH589844:JH589883 TD589844:TD589883 ACZ589844:ACZ589883 AMV589844:AMV589883 AWR589844:AWR589883 BGN589844:BGN589883 BQJ589844:BQJ589883 CAF589844:CAF589883 CKB589844:CKB589883 CTX589844:CTX589883 DDT589844:DDT589883 DNP589844:DNP589883 DXL589844:DXL589883 EHH589844:EHH589883 ERD589844:ERD589883 FAZ589844:FAZ589883 FKV589844:FKV589883 FUR589844:FUR589883 GEN589844:GEN589883 GOJ589844:GOJ589883 GYF589844:GYF589883 HIB589844:HIB589883 HRX589844:HRX589883 IBT589844:IBT589883 ILP589844:ILP589883 IVL589844:IVL589883 JFH589844:JFH589883 JPD589844:JPD589883 JYZ589844:JYZ589883 KIV589844:KIV589883 KSR589844:KSR589883 LCN589844:LCN589883 LMJ589844:LMJ589883 LWF589844:LWF589883 MGB589844:MGB589883 MPX589844:MPX589883 MZT589844:MZT589883 NJP589844:NJP589883 NTL589844:NTL589883 ODH589844:ODH589883 OND589844:OND589883 OWZ589844:OWZ589883 PGV589844:PGV589883 PQR589844:PQR589883 QAN589844:QAN589883 QKJ589844:QKJ589883 QUF589844:QUF589883 REB589844:REB589883 RNX589844:RNX589883 RXT589844:RXT589883 SHP589844:SHP589883 SRL589844:SRL589883 TBH589844:TBH589883 TLD589844:TLD589883 TUZ589844:TUZ589883 UEV589844:UEV589883 UOR589844:UOR589883 UYN589844:UYN589883 VIJ589844:VIJ589883 VSF589844:VSF589883 WCB589844:WCB589883 WLX589844:WLX589883 WVT589844:WVT589883 O655380:O655419 JH655380:JH655419 TD655380:TD655419 ACZ655380:ACZ655419 AMV655380:AMV655419 AWR655380:AWR655419 BGN655380:BGN655419 BQJ655380:BQJ655419 CAF655380:CAF655419 CKB655380:CKB655419 CTX655380:CTX655419 DDT655380:DDT655419 DNP655380:DNP655419 DXL655380:DXL655419 EHH655380:EHH655419 ERD655380:ERD655419 FAZ655380:FAZ655419 FKV655380:FKV655419 FUR655380:FUR655419 GEN655380:GEN655419 GOJ655380:GOJ655419 GYF655380:GYF655419 HIB655380:HIB655419 HRX655380:HRX655419 IBT655380:IBT655419 ILP655380:ILP655419 IVL655380:IVL655419 JFH655380:JFH655419 JPD655380:JPD655419 JYZ655380:JYZ655419 KIV655380:KIV655419 KSR655380:KSR655419 LCN655380:LCN655419 LMJ655380:LMJ655419 LWF655380:LWF655419 MGB655380:MGB655419 MPX655380:MPX655419 MZT655380:MZT655419 NJP655380:NJP655419 NTL655380:NTL655419 ODH655380:ODH655419 OND655380:OND655419 OWZ655380:OWZ655419 PGV655380:PGV655419 PQR655380:PQR655419 QAN655380:QAN655419 QKJ655380:QKJ655419 QUF655380:QUF655419 REB655380:REB655419 RNX655380:RNX655419 RXT655380:RXT655419 SHP655380:SHP655419 SRL655380:SRL655419 TBH655380:TBH655419 TLD655380:TLD655419 TUZ655380:TUZ655419 UEV655380:UEV655419 UOR655380:UOR655419 UYN655380:UYN655419 VIJ655380:VIJ655419 VSF655380:VSF655419 WCB655380:WCB655419 WLX655380:WLX655419 WVT655380:WVT655419 O720916:O720955 JH720916:JH720955 TD720916:TD720955 ACZ720916:ACZ720955 AMV720916:AMV720955 AWR720916:AWR720955 BGN720916:BGN720955 BQJ720916:BQJ720955 CAF720916:CAF720955 CKB720916:CKB720955 CTX720916:CTX720955 DDT720916:DDT720955 DNP720916:DNP720955 DXL720916:DXL720955 EHH720916:EHH720955 ERD720916:ERD720955 FAZ720916:FAZ720955 FKV720916:FKV720955 FUR720916:FUR720955 GEN720916:GEN720955 GOJ720916:GOJ720955 GYF720916:GYF720955 HIB720916:HIB720955 HRX720916:HRX720955 IBT720916:IBT720955 ILP720916:ILP720955 IVL720916:IVL720955 JFH720916:JFH720955 JPD720916:JPD720955 JYZ720916:JYZ720955 KIV720916:KIV720955 KSR720916:KSR720955 LCN720916:LCN720955 LMJ720916:LMJ720955 LWF720916:LWF720955 MGB720916:MGB720955 MPX720916:MPX720955 MZT720916:MZT720955 NJP720916:NJP720955 NTL720916:NTL720955 ODH720916:ODH720955 OND720916:OND720955 OWZ720916:OWZ720955 PGV720916:PGV720955 PQR720916:PQR720955 QAN720916:QAN720955 QKJ720916:QKJ720955 QUF720916:QUF720955 REB720916:REB720955 RNX720916:RNX720955 RXT720916:RXT720955 SHP720916:SHP720955 SRL720916:SRL720955 TBH720916:TBH720955 TLD720916:TLD720955 TUZ720916:TUZ720955 UEV720916:UEV720955 UOR720916:UOR720955 UYN720916:UYN720955 VIJ720916:VIJ720955 VSF720916:VSF720955 WCB720916:WCB720955 WLX720916:WLX720955 WVT720916:WVT720955 O786452:O786491 JH786452:JH786491 TD786452:TD786491 ACZ786452:ACZ786491 AMV786452:AMV786491 AWR786452:AWR786491 BGN786452:BGN786491 BQJ786452:BQJ786491 CAF786452:CAF786491 CKB786452:CKB786491 CTX786452:CTX786491 DDT786452:DDT786491 DNP786452:DNP786491 DXL786452:DXL786491 EHH786452:EHH786491 ERD786452:ERD786491 FAZ786452:FAZ786491 FKV786452:FKV786491 FUR786452:FUR786491 GEN786452:GEN786491 GOJ786452:GOJ786491 GYF786452:GYF786491 HIB786452:HIB786491 HRX786452:HRX786491 IBT786452:IBT786491 ILP786452:ILP786491 IVL786452:IVL786491 JFH786452:JFH786491 JPD786452:JPD786491 JYZ786452:JYZ786491 KIV786452:KIV786491 KSR786452:KSR786491 LCN786452:LCN786491 LMJ786452:LMJ786491 LWF786452:LWF786491 MGB786452:MGB786491 MPX786452:MPX786491 MZT786452:MZT786491 NJP786452:NJP786491 NTL786452:NTL786491 ODH786452:ODH786491 OND786452:OND786491 OWZ786452:OWZ786491 PGV786452:PGV786491 PQR786452:PQR786491 QAN786452:QAN786491 QKJ786452:QKJ786491 QUF786452:QUF786491 REB786452:REB786491 RNX786452:RNX786491 RXT786452:RXT786491 SHP786452:SHP786491 SRL786452:SRL786491 TBH786452:TBH786491 TLD786452:TLD786491 TUZ786452:TUZ786491 UEV786452:UEV786491 UOR786452:UOR786491 UYN786452:UYN786491 VIJ786452:VIJ786491 VSF786452:VSF786491 WCB786452:WCB786491 WLX786452:WLX786491 WVT786452:WVT786491 O851988:O852027 JH851988:JH852027 TD851988:TD852027 ACZ851988:ACZ852027 AMV851988:AMV852027 AWR851988:AWR852027 BGN851988:BGN852027 BQJ851988:BQJ852027 CAF851988:CAF852027 CKB851988:CKB852027 CTX851988:CTX852027 DDT851988:DDT852027 DNP851988:DNP852027 DXL851988:DXL852027 EHH851988:EHH852027 ERD851988:ERD852027 FAZ851988:FAZ852027 FKV851988:FKV852027 FUR851988:FUR852027 GEN851988:GEN852027 GOJ851988:GOJ852027 GYF851988:GYF852027 HIB851988:HIB852027 HRX851988:HRX852027 IBT851988:IBT852027 ILP851988:ILP852027 IVL851988:IVL852027 JFH851988:JFH852027 JPD851988:JPD852027 JYZ851988:JYZ852027 KIV851988:KIV852027 KSR851988:KSR852027 LCN851988:LCN852027 LMJ851988:LMJ852027 LWF851988:LWF852027 MGB851988:MGB852027 MPX851988:MPX852027 MZT851988:MZT852027 NJP851988:NJP852027 NTL851988:NTL852027 ODH851988:ODH852027 OND851988:OND852027 OWZ851988:OWZ852027 PGV851988:PGV852027 PQR851988:PQR852027 QAN851988:QAN852027 QKJ851988:QKJ852027 QUF851988:QUF852027 REB851988:REB852027 RNX851988:RNX852027 RXT851988:RXT852027 SHP851988:SHP852027 SRL851988:SRL852027 TBH851988:TBH852027 TLD851988:TLD852027 TUZ851988:TUZ852027 UEV851988:UEV852027 UOR851988:UOR852027 UYN851988:UYN852027 VIJ851988:VIJ852027 VSF851988:VSF852027 WCB851988:WCB852027 WLX851988:WLX852027 WVT851988:WVT852027 O917524:O917563 JH917524:JH917563 TD917524:TD917563 ACZ917524:ACZ917563 AMV917524:AMV917563 AWR917524:AWR917563 BGN917524:BGN917563 BQJ917524:BQJ917563 CAF917524:CAF917563 CKB917524:CKB917563 CTX917524:CTX917563 DDT917524:DDT917563 DNP917524:DNP917563 DXL917524:DXL917563 EHH917524:EHH917563 ERD917524:ERD917563 FAZ917524:FAZ917563 FKV917524:FKV917563 FUR917524:FUR917563 GEN917524:GEN917563 GOJ917524:GOJ917563 GYF917524:GYF917563 HIB917524:HIB917563 HRX917524:HRX917563 IBT917524:IBT917563 ILP917524:ILP917563 IVL917524:IVL917563 JFH917524:JFH917563 JPD917524:JPD917563 JYZ917524:JYZ917563 KIV917524:KIV917563 KSR917524:KSR917563 LCN917524:LCN917563 LMJ917524:LMJ917563 LWF917524:LWF917563 MGB917524:MGB917563 MPX917524:MPX917563 MZT917524:MZT917563 NJP917524:NJP917563 NTL917524:NTL917563 ODH917524:ODH917563 OND917524:OND917563 OWZ917524:OWZ917563 PGV917524:PGV917563 PQR917524:PQR917563 QAN917524:QAN917563 QKJ917524:QKJ917563 QUF917524:QUF917563 REB917524:REB917563 RNX917524:RNX917563 RXT917524:RXT917563 SHP917524:SHP917563 SRL917524:SRL917563 TBH917524:TBH917563 TLD917524:TLD917563 TUZ917524:TUZ917563 UEV917524:UEV917563 UOR917524:UOR917563 UYN917524:UYN917563 VIJ917524:VIJ917563 VSF917524:VSF917563 WCB917524:WCB917563 WLX917524:WLX917563 WVT917524:WVT917563 O983060:O983099 JH983060:JH983099 TD983060:TD983099 ACZ983060:ACZ983099 AMV983060:AMV983099 AWR983060:AWR983099 BGN983060:BGN983099 BQJ983060:BQJ983099 CAF983060:CAF983099 CKB983060:CKB983099 CTX983060:CTX983099 DDT983060:DDT983099 DNP983060:DNP983099 DXL983060:DXL983099 EHH983060:EHH983099 ERD983060:ERD983099 FAZ983060:FAZ983099 FKV983060:FKV983099 FUR983060:FUR983099 GEN983060:GEN983099 GOJ983060:GOJ983099 GYF983060:GYF983099 HIB983060:HIB983099 HRX983060:HRX983099 IBT983060:IBT983099 ILP983060:ILP983099 IVL983060:IVL983099 JFH983060:JFH983099 JPD983060:JPD983099 JYZ983060:JYZ983099 KIV983060:KIV983099 KSR983060:KSR983099 LCN983060:LCN983099 LMJ983060:LMJ983099 LWF983060:LWF983099 MGB983060:MGB983099 MPX983060:MPX983099 MZT983060:MZT983099 NJP983060:NJP983099 NTL983060:NTL983099 ODH983060:ODH983099 OND983060:OND983099 OWZ983060:OWZ983099 PGV983060:PGV983099 PQR983060:PQR983099 QAN983060:QAN983099 QKJ983060:QKJ983099 QUF983060:QUF983099 REB983060:REB983099 RNX983060:RNX983099 RXT983060:RXT983099 SHP983060:SHP983099 SRL983060:SRL983099 TBH983060:TBH983099 TLD983060:TLD983099 TUZ983060:TUZ983099 UEV983060:UEV983099 UOR983060:UOR983099 UYN983060:UYN983099 VIJ983060:VIJ983099 VSF983060:VSF983099 WCB983060:WCB983099 WLX983060:WLX983099 WVT983060:WVT983099 T20:T59 JN20:JN59 TJ20:TJ59 ADF20:ADF59 ANB20:ANB59 AWX20:AWX59 BGT20:BGT59 BQP20:BQP59 CAL20:CAL59 CKH20:CKH59 CUD20:CUD59 DDZ20:DDZ59 DNV20:DNV59 DXR20:DXR59 EHN20:EHN59 ERJ20:ERJ59 FBF20:FBF59 FLB20:FLB59 FUX20:FUX59 GET20:GET59 GOP20:GOP59 GYL20:GYL59 HIH20:HIH59 HSD20:HSD59 IBZ20:IBZ59 ILV20:ILV59 IVR20:IVR59 JFN20:JFN59 JPJ20:JPJ59 JZF20:JZF59 KJB20:KJB59 KSX20:KSX59 LCT20:LCT59 LMP20:LMP59 LWL20:LWL59 MGH20:MGH59 MQD20:MQD59 MZZ20:MZZ59 NJV20:NJV59 NTR20:NTR59 ODN20:ODN59 ONJ20:ONJ59 OXF20:OXF59 PHB20:PHB59 PQX20:PQX59 QAT20:QAT59 QKP20:QKP59 QUL20:QUL59 REH20:REH59 ROD20:ROD59 RXZ20:RXZ59 SHV20:SHV59 SRR20:SRR59 TBN20:TBN59 TLJ20:TLJ59 TVF20:TVF59 UFB20:UFB59 UOX20:UOX59 UYT20:UYT59 VIP20:VIP59 VSL20:VSL59 WCH20:WCH59 WMD20:WMD59 WVZ20:WVZ59 T65556:T65595 JN65556:JN65595 TJ65556:TJ65595 ADF65556:ADF65595 ANB65556:ANB65595 AWX65556:AWX65595 BGT65556:BGT65595 BQP65556:BQP65595 CAL65556:CAL65595 CKH65556:CKH65595 CUD65556:CUD65595 DDZ65556:DDZ65595 DNV65556:DNV65595 DXR65556:DXR65595 EHN65556:EHN65595 ERJ65556:ERJ65595 FBF65556:FBF65595 FLB65556:FLB65595 FUX65556:FUX65595 GET65556:GET65595 GOP65556:GOP65595 GYL65556:GYL65595 HIH65556:HIH65595 HSD65556:HSD65595 IBZ65556:IBZ65595 ILV65556:ILV65595 IVR65556:IVR65595 JFN65556:JFN65595 JPJ65556:JPJ65595 JZF65556:JZF65595 KJB65556:KJB65595 KSX65556:KSX65595 LCT65556:LCT65595 LMP65556:LMP65595 LWL65556:LWL65595 MGH65556:MGH65595 MQD65556:MQD65595 MZZ65556:MZZ65595 NJV65556:NJV65595 NTR65556:NTR65595 ODN65556:ODN65595 ONJ65556:ONJ65595 OXF65556:OXF65595 PHB65556:PHB65595 PQX65556:PQX65595 QAT65556:QAT65595 QKP65556:QKP65595 QUL65556:QUL65595 REH65556:REH65595 ROD65556:ROD65595 RXZ65556:RXZ65595 SHV65556:SHV65595 SRR65556:SRR65595 TBN65556:TBN65595 TLJ65556:TLJ65595 TVF65556:TVF65595 UFB65556:UFB65595 UOX65556:UOX65595 UYT65556:UYT65595 VIP65556:VIP65595 VSL65556:VSL65595 WCH65556:WCH65595 WMD65556:WMD65595 WVZ65556:WVZ65595 T131092:T131131 JN131092:JN131131 TJ131092:TJ131131 ADF131092:ADF131131 ANB131092:ANB131131 AWX131092:AWX131131 BGT131092:BGT131131 BQP131092:BQP131131 CAL131092:CAL131131 CKH131092:CKH131131 CUD131092:CUD131131 DDZ131092:DDZ131131 DNV131092:DNV131131 DXR131092:DXR131131 EHN131092:EHN131131 ERJ131092:ERJ131131 FBF131092:FBF131131 FLB131092:FLB131131 FUX131092:FUX131131 GET131092:GET131131 GOP131092:GOP131131 GYL131092:GYL131131 HIH131092:HIH131131 HSD131092:HSD131131 IBZ131092:IBZ131131 ILV131092:ILV131131 IVR131092:IVR131131 JFN131092:JFN131131 JPJ131092:JPJ131131 JZF131092:JZF131131 KJB131092:KJB131131 KSX131092:KSX131131 LCT131092:LCT131131 LMP131092:LMP131131 LWL131092:LWL131131 MGH131092:MGH131131 MQD131092:MQD131131 MZZ131092:MZZ131131 NJV131092:NJV131131 NTR131092:NTR131131 ODN131092:ODN131131 ONJ131092:ONJ131131 OXF131092:OXF131131 PHB131092:PHB131131 PQX131092:PQX131131 QAT131092:QAT131131 QKP131092:QKP131131 QUL131092:QUL131131 REH131092:REH131131 ROD131092:ROD131131 RXZ131092:RXZ131131 SHV131092:SHV131131 SRR131092:SRR131131 TBN131092:TBN131131 TLJ131092:TLJ131131 TVF131092:TVF131131 UFB131092:UFB131131 UOX131092:UOX131131 UYT131092:UYT131131 VIP131092:VIP131131 VSL131092:VSL131131 WCH131092:WCH131131 WMD131092:WMD131131 WVZ131092:WVZ131131 T196628:T196667 JN196628:JN196667 TJ196628:TJ196667 ADF196628:ADF196667 ANB196628:ANB196667 AWX196628:AWX196667 BGT196628:BGT196667 BQP196628:BQP196667 CAL196628:CAL196667 CKH196628:CKH196667 CUD196628:CUD196667 DDZ196628:DDZ196667 DNV196628:DNV196667 DXR196628:DXR196667 EHN196628:EHN196667 ERJ196628:ERJ196667 FBF196628:FBF196667 FLB196628:FLB196667 FUX196628:FUX196667 GET196628:GET196667 GOP196628:GOP196667 GYL196628:GYL196667 HIH196628:HIH196667 HSD196628:HSD196667 IBZ196628:IBZ196667 ILV196628:ILV196667 IVR196628:IVR196667 JFN196628:JFN196667 JPJ196628:JPJ196667 JZF196628:JZF196667 KJB196628:KJB196667 KSX196628:KSX196667 LCT196628:LCT196667 LMP196628:LMP196667 LWL196628:LWL196667 MGH196628:MGH196667 MQD196628:MQD196667 MZZ196628:MZZ196667 NJV196628:NJV196667 NTR196628:NTR196667 ODN196628:ODN196667 ONJ196628:ONJ196667 OXF196628:OXF196667 PHB196628:PHB196667 PQX196628:PQX196667 QAT196628:QAT196667 QKP196628:QKP196667 QUL196628:QUL196667 REH196628:REH196667 ROD196628:ROD196667 RXZ196628:RXZ196667 SHV196628:SHV196667 SRR196628:SRR196667 TBN196628:TBN196667 TLJ196628:TLJ196667 TVF196628:TVF196667 UFB196628:UFB196667 UOX196628:UOX196667 UYT196628:UYT196667 VIP196628:VIP196667 VSL196628:VSL196667 WCH196628:WCH196667 WMD196628:WMD196667 WVZ196628:WVZ196667 T262164:T262203 JN262164:JN262203 TJ262164:TJ262203 ADF262164:ADF262203 ANB262164:ANB262203 AWX262164:AWX262203 BGT262164:BGT262203 BQP262164:BQP262203 CAL262164:CAL262203 CKH262164:CKH262203 CUD262164:CUD262203 DDZ262164:DDZ262203 DNV262164:DNV262203 DXR262164:DXR262203 EHN262164:EHN262203 ERJ262164:ERJ262203 FBF262164:FBF262203 FLB262164:FLB262203 FUX262164:FUX262203 GET262164:GET262203 GOP262164:GOP262203 GYL262164:GYL262203 HIH262164:HIH262203 HSD262164:HSD262203 IBZ262164:IBZ262203 ILV262164:ILV262203 IVR262164:IVR262203 JFN262164:JFN262203 JPJ262164:JPJ262203 JZF262164:JZF262203 KJB262164:KJB262203 KSX262164:KSX262203 LCT262164:LCT262203 LMP262164:LMP262203 LWL262164:LWL262203 MGH262164:MGH262203 MQD262164:MQD262203 MZZ262164:MZZ262203 NJV262164:NJV262203 NTR262164:NTR262203 ODN262164:ODN262203 ONJ262164:ONJ262203 OXF262164:OXF262203 PHB262164:PHB262203 PQX262164:PQX262203 QAT262164:QAT262203 QKP262164:QKP262203 QUL262164:QUL262203 REH262164:REH262203 ROD262164:ROD262203 RXZ262164:RXZ262203 SHV262164:SHV262203 SRR262164:SRR262203 TBN262164:TBN262203 TLJ262164:TLJ262203 TVF262164:TVF262203 UFB262164:UFB262203 UOX262164:UOX262203 UYT262164:UYT262203 VIP262164:VIP262203 VSL262164:VSL262203 WCH262164:WCH262203 WMD262164:WMD262203 WVZ262164:WVZ262203 T327700:T327739 JN327700:JN327739 TJ327700:TJ327739 ADF327700:ADF327739 ANB327700:ANB327739 AWX327700:AWX327739 BGT327700:BGT327739 BQP327700:BQP327739 CAL327700:CAL327739 CKH327700:CKH327739 CUD327700:CUD327739 DDZ327700:DDZ327739 DNV327700:DNV327739 DXR327700:DXR327739 EHN327700:EHN327739 ERJ327700:ERJ327739 FBF327700:FBF327739 FLB327700:FLB327739 FUX327700:FUX327739 GET327700:GET327739 GOP327700:GOP327739 GYL327700:GYL327739 HIH327700:HIH327739 HSD327700:HSD327739 IBZ327700:IBZ327739 ILV327700:ILV327739 IVR327700:IVR327739 JFN327700:JFN327739 JPJ327700:JPJ327739 JZF327700:JZF327739 KJB327700:KJB327739 KSX327700:KSX327739 LCT327700:LCT327739 LMP327700:LMP327739 LWL327700:LWL327739 MGH327700:MGH327739 MQD327700:MQD327739 MZZ327700:MZZ327739 NJV327700:NJV327739 NTR327700:NTR327739 ODN327700:ODN327739 ONJ327700:ONJ327739 OXF327700:OXF327739 PHB327700:PHB327739 PQX327700:PQX327739 QAT327700:QAT327739 QKP327700:QKP327739 QUL327700:QUL327739 REH327700:REH327739 ROD327700:ROD327739 RXZ327700:RXZ327739 SHV327700:SHV327739 SRR327700:SRR327739 TBN327700:TBN327739 TLJ327700:TLJ327739 TVF327700:TVF327739 UFB327700:UFB327739 UOX327700:UOX327739 UYT327700:UYT327739 VIP327700:VIP327739 VSL327700:VSL327739 WCH327700:WCH327739 WMD327700:WMD327739 WVZ327700:WVZ327739 T393236:T393275 JN393236:JN393275 TJ393236:TJ393275 ADF393236:ADF393275 ANB393236:ANB393275 AWX393236:AWX393275 BGT393236:BGT393275 BQP393236:BQP393275 CAL393236:CAL393275 CKH393236:CKH393275 CUD393236:CUD393275 DDZ393236:DDZ393275 DNV393236:DNV393275 DXR393236:DXR393275 EHN393236:EHN393275 ERJ393236:ERJ393275 FBF393236:FBF393275 FLB393236:FLB393275 FUX393236:FUX393275 GET393236:GET393275 GOP393236:GOP393275 GYL393236:GYL393275 HIH393236:HIH393275 HSD393236:HSD393275 IBZ393236:IBZ393275 ILV393236:ILV393275 IVR393236:IVR393275 JFN393236:JFN393275 JPJ393236:JPJ393275 JZF393236:JZF393275 KJB393236:KJB393275 KSX393236:KSX393275 LCT393236:LCT393275 LMP393236:LMP393275 LWL393236:LWL393275 MGH393236:MGH393275 MQD393236:MQD393275 MZZ393236:MZZ393275 NJV393236:NJV393275 NTR393236:NTR393275 ODN393236:ODN393275 ONJ393236:ONJ393275 OXF393236:OXF393275 PHB393236:PHB393275 PQX393236:PQX393275 QAT393236:QAT393275 QKP393236:QKP393275 QUL393236:QUL393275 REH393236:REH393275 ROD393236:ROD393275 RXZ393236:RXZ393275 SHV393236:SHV393275 SRR393236:SRR393275 TBN393236:TBN393275 TLJ393236:TLJ393275 TVF393236:TVF393275 UFB393236:UFB393275 UOX393236:UOX393275 UYT393236:UYT393275 VIP393236:VIP393275 VSL393236:VSL393275 WCH393236:WCH393275 WMD393236:WMD393275 WVZ393236:WVZ393275 T458772:T458811 JN458772:JN458811 TJ458772:TJ458811 ADF458772:ADF458811 ANB458772:ANB458811 AWX458772:AWX458811 BGT458772:BGT458811 BQP458772:BQP458811 CAL458772:CAL458811 CKH458772:CKH458811 CUD458772:CUD458811 DDZ458772:DDZ458811 DNV458772:DNV458811 DXR458772:DXR458811 EHN458772:EHN458811 ERJ458772:ERJ458811 FBF458772:FBF458811 FLB458772:FLB458811 FUX458772:FUX458811 GET458772:GET458811 GOP458772:GOP458811 GYL458772:GYL458811 HIH458772:HIH458811 HSD458772:HSD458811 IBZ458772:IBZ458811 ILV458772:ILV458811 IVR458772:IVR458811 JFN458772:JFN458811 JPJ458772:JPJ458811 JZF458772:JZF458811 KJB458772:KJB458811 KSX458772:KSX458811 LCT458772:LCT458811 LMP458772:LMP458811 LWL458772:LWL458811 MGH458772:MGH458811 MQD458772:MQD458811 MZZ458772:MZZ458811 NJV458772:NJV458811 NTR458772:NTR458811 ODN458772:ODN458811 ONJ458772:ONJ458811 OXF458772:OXF458811 PHB458772:PHB458811 PQX458772:PQX458811 QAT458772:QAT458811 QKP458772:QKP458811 QUL458772:QUL458811 REH458772:REH458811 ROD458772:ROD458811 RXZ458772:RXZ458811 SHV458772:SHV458811 SRR458772:SRR458811 TBN458772:TBN458811 TLJ458772:TLJ458811 TVF458772:TVF458811 UFB458772:UFB458811 UOX458772:UOX458811 UYT458772:UYT458811 VIP458772:VIP458811 VSL458772:VSL458811 WCH458772:WCH458811 WMD458772:WMD458811 WVZ458772:WVZ458811 T524308:T524347 JN524308:JN524347 TJ524308:TJ524347 ADF524308:ADF524347 ANB524308:ANB524347 AWX524308:AWX524347 BGT524308:BGT524347 BQP524308:BQP524347 CAL524308:CAL524347 CKH524308:CKH524347 CUD524308:CUD524347 DDZ524308:DDZ524347 DNV524308:DNV524347 DXR524308:DXR524347 EHN524308:EHN524347 ERJ524308:ERJ524347 FBF524308:FBF524347 FLB524308:FLB524347 FUX524308:FUX524347 GET524308:GET524347 GOP524308:GOP524347 GYL524308:GYL524347 HIH524308:HIH524347 HSD524308:HSD524347 IBZ524308:IBZ524347 ILV524308:ILV524347 IVR524308:IVR524347 JFN524308:JFN524347 JPJ524308:JPJ524347 JZF524308:JZF524347 KJB524308:KJB524347 KSX524308:KSX524347 LCT524308:LCT524347 LMP524308:LMP524347 LWL524308:LWL524347 MGH524308:MGH524347 MQD524308:MQD524347 MZZ524308:MZZ524347 NJV524308:NJV524347 NTR524308:NTR524347 ODN524308:ODN524347 ONJ524308:ONJ524347 OXF524308:OXF524347 PHB524308:PHB524347 PQX524308:PQX524347 QAT524308:QAT524347 QKP524308:QKP524347 QUL524308:QUL524347 REH524308:REH524347 ROD524308:ROD524347 RXZ524308:RXZ524347 SHV524308:SHV524347 SRR524308:SRR524347 TBN524308:TBN524347 TLJ524308:TLJ524347 TVF524308:TVF524347 UFB524308:UFB524347 UOX524308:UOX524347 UYT524308:UYT524347 VIP524308:VIP524347 VSL524308:VSL524347 WCH524308:WCH524347 WMD524308:WMD524347 WVZ524308:WVZ524347 T589844:T589883 JN589844:JN589883 TJ589844:TJ589883 ADF589844:ADF589883 ANB589844:ANB589883 AWX589844:AWX589883 BGT589844:BGT589883 BQP589844:BQP589883 CAL589844:CAL589883 CKH589844:CKH589883 CUD589844:CUD589883 DDZ589844:DDZ589883 DNV589844:DNV589883 DXR589844:DXR589883 EHN589844:EHN589883 ERJ589844:ERJ589883 FBF589844:FBF589883 FLB589844:FLB589883 FUX589844:FUX589883 GET589844:GET589883 GOP589844:GOP589883 GYL589844:GYL589883 HIH589844:HIH589883 HSD589844:HSD589883 IBZ589844:IBZ589883 ILV589844:ILV589883 IVR589844:IVR589883 JFN589844:JFN589883 JPJ589844:JPJ589883 JZF589844:JZF589883 KJB589844:KJB589883 KSX589844:KSX589883 LCT589844:LCT589883 LMP589844:LMP589883 LWL589844:LWL589883 MGH589844:MGH589883 MQD589844:MQD589883 MZZ589844:MZZ589883 NJV589844:NJV589883 NTR589844:NTR589883 ODN589844:ODN589883 ONJ589844:ONJ589883 OXF589844:OXF589883 PHB589844:PHB589883 PQX589844:PQX589883 QAT589844:QAT589883 QKP589844:QKP589883 QUL589844:QUL589883 REH589844:REH589883 ROD589844:ROD589883 RXZ589844:RXZ589883 SHV589844:SHV589883 SRR589844:SRR589883 TBN589844:TBN589883 TLJ589844:TLJ589883 TVF589844:TVF589883 UFB589844:UFB589883 UOX589844:UOX589883 UYT589844:UYT589883 VIP589844:VIP589883 VSL589844:VSL589883 WCH589844:WCH589883 WMD589844:WMD589883 WVZ589844:WVZ589883 T655380:T655419 JN655380:JN655419 TJ655380:TJ655419 ADF655380:ADF655419 ANB655380:ANB655419 AWX655380:AWX655419 BGT655380:BGT655419 BQP655380:BQP655419 CAL655380:CAL655419 CKH655380:CKH655419 CUD655380:CUD655419 DDZ655380:DDZ655419 DNV655380:DNV655419 DXR655380:DXR655419 EHN655380:EHN655419 ERJ655380:ERJ655419 FBF655380:FBF655419 FLB655380:FLB655419 FUX655380:FUX655419 GET655380:GET655419 GOP655380:GOP655419 GYL655380:GYL655419 HIH655380:HIH655419 HSD655380:HSD655419 IBZ655380:IBZ655419 ILV655380:ILV655419 IVR655380:IVR655419 JFN655380:JFN655419 JPJ655380:JPJ655419 JZF655380:JZF655419 KJB655380:KJB655419 KSX655380:KSX655419 LCT655380:LCT655419 LMP655380:LMP655419 LWL655380:LWL655419 MGH655380:MGH655419 MQD655380:MQD655419 MZZ655380:MZZ655419 NJV655380:NJV655419 NTR655380:NTR655419 ODN655380:ODN655419 ONJ655380:ONJ655419 OXF655380:OXF655419 PHB655380:PHB655419 PQX655380:PQX655419 QAT655380:QAT655419 QKP655380:QKP655419 QUL655380:QUL655419 REH655380:REH655419 ROD655380:ROD655419 RXZ655380:RXZ655419 SHV655380:SHV655419 SRR655380:SRR655419 TBN655380:TBN655419 TLJ655380:TLJ655419 TVF655380:TVF655419 UFB655380:UFB655419 UOX655380:UOX655419 UYT655380:UYT655419 VIP655380:VIP655419 VSL655380:VSL655419 WCH655380:WCH655419 WMD655380:WMD655419 WVZ655380:WVZ655419 T720916:T720955 JN720916:JN720955 TJ720916:TJ720955 ADF720916:ADF720955 ANB720916:ANB720955 AWX720916:AWX720955 BGT720916:BGT720955 BQP720916:BQP720955 CAL720916:CAL720955 CKH720916:CKH720955 CUD720916:CUD720955 DDZ720916:DDZ720955 DNV720916:DNV720955 DXR720916:DXR720955 EHN720916:EHN720955 ERJ720916:ERJ720955 FBF720916:FBF720955 FLB720916:FLB720955 FUX720916:FUX720955 GET720916:GET720955 GOP720916:GOP720955 GYL720916:GYL720955 HIH720916:HIH720955 HSD720916:HSD720955 IBZ720916:IBZ720955 ILV720916:ILV720955 IVR720916:IVR720955 JFN720916:JFN720955 JPJ720916:JPJ720955 JZF720916:JZF720955 KJB720916:KJB720955 KSX720916:KSX720955 LCT720916:LCT720955 LMP720916:LMP720955 LWL720916:LWL720955 MGH720916:MGH720955 MQD720916:MQD720955 MZZ720916:MZZ720955 NJV720916:NJV720955 NTR720916:NTR720955 ODN720916:ODN720955 ONJ720916:ONJ720955 OXF720916:OXF720955 PHB720916:PHB720955 PQX720916:PQX720955 QAT720916:QAT720955 QKP720916:QKP720955 QUL720916:QUL720955 REH720916:REH720955 ROD720916:ROD720955 RXZ720916:RXZ720955 SHV720916:SHV720955 SRR720916:SRR720955 TBN720916:TBN720955 TLJ720916:TLJ720955 TVF720916:TVF720955 UFB720916:UFB720955 UOX720916:UOX720955 UYT720916:UYT720955 VIP720916:VIP720955 VSL720916:VSL720955 WCH720916:WCH720955 WMD720916:WMD720955 WVZ720916:WVZ720955 T786452:T786491 JN786452:JN786491 TJ786452:TJ786491 ADF786452:ADF786491 ANB786452:ANB786491 AWX786452:AWX786491 BGT786452:BGT786491 BQP786452:BQP786491 CAL786452:CAL786491 CKH786452:CKH786491 CUD786452:CUD786491 DDZ786452:DDZ786491 DNV786452:DNV786491 DXR786452:DXR786491 EHN786452:EHN786491 ERJ786452:ERJ786491 FBF786452:FBF786491 FLB786452:FLB786491 FUX786452:FUX786491 GET786452:GET786491 GOP786452:GOP786491 GYL786452:GYL786491 HIH786452:HIH786491 HSD786452:HSD786491 IBZ786452:IBZ786491 ILV786452:ILV786491 IVR786452:IVR786491 JFN786452:JFN786491 JPJ786452:JPJ786491 JZF786452:JZF786491 KJB786452:KJB786491 KSX786452:KSX786491 LCT786452:LCT786491 LMP786452:LMP786491 LWL786452:LWL786491 MGH786452:MGH786491 MQD786452:MQD786491 MZZ786452:MZZ786491 NJV786452:NJV786491 NTR786452:NTR786491 ODN786452:ODN786491 ONJ786452:ONJ786491 OXF786452:OXF786491 PHB786452:PHB786491 PQX786452:PQX786491 QAT786452:QAT786491 QKP786452:QKP786491 QUL786452:QUL786491 REH786452:REH786491 ROD786452:ROD786491 RXZ786452:RXZ786491 SHV786452:SHV786491 SRR786452:SRR786491 TBN786452:TBN786491 TLJ786452:TLJ786491 TVF786452:TVF786491 UFB786452:UFB786491 UOX786452:UOX786491 UYT786452:UYT786491 VIP786452:VIP786491 VSL786452:VSL786491 WCH786452:WCH786491 WMD786452:WMD786491 WVZ786452:WVZ786491 T851988:T852027 JN851988:JN852027 TJ851988:TJ852027 ADF851988:ADF852027 ANB851988:ANB852027 AWX851988:AWX852027 BGT851988:BGT852027 BQP851988:BQP852027 CAL851988:CAL852027 CKH851988:CKH852027 CUD851988:CUD852027 DDZ851988:DDZ852027 DNV851988:DNV852027 DXR851988:DXR852027 EHN851988:EHN852027 ERJ851988:ERJ852027 FBF851988:FBF852027 FLB851988:FLB852027 FUX851988:FUX852027 GET851988:GET852027 GOP851988:GOP852027 GYL851988:GYL852027 HIH851988:HIH852027 HSD851988:HSD852027 IBZ851988:IBZ852027 ILV851988:ILV852027 IVR851988:IVR852027 JFN851988:JFN852027 JPJ851988:JPJ852027 JZF851988:JZF852027 KJB851988:KJB852027 KSX851988:KSX852027 LCT851988:LCT852027 LMP851988:LMP852027 LWL851988:LWL852027 MGH851988:MGH852027 MQD851988:MQD852027 MZZ851988:MZZ852027 NJV851988:NJV852027 NTR851988:NTR852027 ODN851988:ODN852027 ONJ851988:ONJ852027 OXF851988:OXF852027 PHB851988:PHB852027 PQX851988:PQX852027 QAT851988:QAT852027 QKP851988:QKP852027 QUL851988:QUL852027 REH851988:REH852027 ROD851988:ROD852027 RXZ851988:RXZ852027 SHV851988:SHV852027 SRR851988:SRR852027 TBN851988:TBN852027 TLJ851988:TLJ852027 TVF851988:TVF852027 UFB851988:UFB852027 UOX851988:UOX852027 UYT851988:UYT852027 VIP851988:VIP852027 VSL851988:VSL852027 WCH851988:WCH852027 WMD851988:WMD852027 WVZ851988:WVZ852027 T917524:T917563 JN917524:JN917563 TJ917524:TJ917563 ADF917524:ADF917563 ANB917524:ANB917563 AWX917524:AWX917563 BGT917524:BGT917563 BQP917524:BQP917563 CAL917524:CAL917563 CKH917524:CKH917563 CUD917524:CUD917563 DDZ917524:DDZ917563 DNV917524:DNV917563 DXR917524:DXR917563 EHN917524:EHN917563 ERJ917524:ERJ917563 FBF917524:FBF917563 FLB917524:FLB917563 FUX917524:FUX917563 GET917524:GET917563 GOP917524:GOP917563 GYL917524:GYL917563 HIH917524:HIH917563 HSD917524:HSD917563 IBZ917524:IBZ917563 ILV917524:ILV917563 IVR917524:IVR917563 JFN917524:JFN917563 JPJ917524:JPJ917563 JZF917524:JZF917563 KJB917524:KJB917563 KSX917524:KSX917563 LCT917524:LCT917563 LMP917524:LMP917563 LWL917524:LWL917563 MGH917524:MGH917563 MQD917524:MQD917563 MZZ917524:MZZ917563 NJV917524:NJV917563 NTR917524:NTR917563 ODN917524:ODN917563 ONJ917524:ONJ917563 OXF917524:OXF917563 PHB917524:PHB917563 PQX917524:PQX917563 QAT917524:QAT917563 QKP917524:QKP917563 QUL917524:QUL917563 REH917524:REH917563 ROD917524:ROD917563 RXZ917524:RXZ917563 SHV917524:SHV917563 SRR917524:SRR917563 TBN917524:TBN917563 TLJ917524:TLJ917563 TVF917524:TVF917563 UFB917524:UFB917563 UOX917524:UOX917563 UYT917524:UYT917563 VIP917524:VIP917563 VSL917524:VSL917563 WCH917524:WCH917563 WMD917524:WMD917563 WVZ917524:WVZ917563 T983060:T983099 JN983060:JN983099 TJ983060:TJ983099 ADF983060:ADF983099 ANB983060:ANB983099 AWX983060:AWX983099 BGT983060:BGT983099 BQP983060:BQP983099 CAL983060:CAL983099 CKH983060:CKH983099 CUD983060:CUD983099 DDZ983060:DDZ983099 DNV983060:DNV983099 DXR983060:DXR983099 EHN983060:EHN983099 ERJ983060:ERJ983099 FBF983060:FBF983099 FLB983060:FLB983099 FUX983060:FUX983099 GET983060:GET983099 GOP983060:GOP983099 GYL983060:GYL983099 HIH983060:HIH983099 HSD983060:HSD983099 IBZ983060:IBZ983099 ILV983060:ILV983099 IVR983060:IVR983099 JFN983060:JFN983099 JPJ983060:JPJ983099 JZF983060:JZF983099 KJB983060:KJB983099 KSX983060:KSX983099 LCT983060:LCT983099 LMP983060:LMP983099 LWL983060:LWL983099 MGH983060:MGH983099 MQD983060:MQD983099 MZZ983060:MZZ983099 NJV983060:NJV983099 NTR983060:NTR983099 ODN983060:ODN983099 ONJ983060:ONJ983099 OXF983060:OXF983099 PHB983060:PHB983099 PQX983060:PQX983099 QAT983060:QAT983099 QKP983060:QKP983099 QUL983060:QUL983099 REH983060:REH983099 ROD983060:ROD983099 RXZ983060:RXZ983099 SHV983060:SHV983099 SRR983060:SRR983099 TBN983060:TBN983099 TLJ983060:TLJ983099 TVF983060:TVF983099 UFB983060:UFB983099 UOX983060:UOX983099 UYT983060:UYT983099 VIP983060:VIP983099 VSL983060:VSL983099 WCH983060:WCH983099 WMD983060:WMD983099 WVZ983060:WVZ983099">
      <formula1>classe_ind_real2</formula1>
    </dataValidation>
    <dataValidation type="list" allowBlank="1" showInputMessage="1" showErrorMessage="1" sqref="G49:G54 WVV983060:WVV983099 WLZ983060:WLZ983099 WCD983060:WCD983099 VSH983060:VSH983099 VIL983060:VIL983099 UYP983060:UYP983099 UOT983060:UOT983099 UEX983060:UEX983099 TVB983060:TVB983099 TLF983060:TLF983099 TBJ983060:TBJ983099 SRN983060:SRN983099 SHR983060:SHR983099 RXV983060:RXV983099 RNZ983060:RNZ983099 RED983060:RED983099 QUH983060:QUH983099 QKL983060:QKL983099 QAP983060:QAP983099 PQT983060:PQT983099 PGX983060:PGX983099 OXB983060:OXB983099 ONF983060:ONF983099 ODJ983060:ODJ983099 NTN983060:NTN983099 NJR983060:NJR983099 MZV983060:MZV983099 MPZ983060:MPZ983099 MGD983060:MGD983099 LWH983060:LWH983099 LML983060:LML983099 LCP983060:LCP983099 KST983060:KST983099 KIX983060:KIX983099 JZB983060:JZB983099 JPF983060:JPF983099 JFJ983060:JFJ983099 IVN983060:IVN983099 ILR983060:ILR983099 IBV983060:IBV983099 HRZ983060:HRZ983099 HID983060:HID983099 GYH983060:GYH983099 GOL983060:GOL983099 GEP983060:GEP983099 FUT983060:FUT983099 FKX983060:FKX983099 FBB983060:FBB983099 ERF983060:ERF983099 EHJ983060:EHJ983099 DXN983060:DXN983099 DNR983060:DNR983099 DDV983060:DDV983099 CTZ983060:CTZ983099 CKD983060:CKD983099 CAH983060:CAH983099 BQL983060:BQL983099 BGP983060:BGP983099 AWT983060:AWT983099 AMX983060:AMX983099 ADB983060:ADB983099 TF983060:TF983099 JJ983060:JJ983099 Q983060:Q983099 WVV917524:WVV917563 WLZ917524:WLZ917563 WCD917524:WCD917563 VSH917524:VSH917563 VIL917524:VIL917563 UYP917524:UYP917563 UOT917524:UOT917563 UEX917524:UEX917563 TVB917524:TVB917563 TLF917524:TLF917563 TBJ917524:TBJ917563 SRN917524:SRN917563 SHR917524:SHR917563 RXV917524:RXV917563 RNZ917524:RNZ917563 RED917524:RED917563 QUH917524:QUH917563 QKL917524:QKL917563 QAP917524:QAP917563 PQT917524:PQT917563 PGX917524:PGX917563 OXB917524:OXB917563 ONF917524:ONF917563 ODJ917524:ODJ917563 NTN917524:NTN917563 NJR917524:NJR917563 MZV917524:MZV917563 MPZ917524:MPZ917563 MGD917524:MGD917563 LWH917524:LWH917563 LML917524:LML917563 LCP917524:LCP917563 KST917524:KST917563 KIX917524:KIX917563 JZB917524:JZB917563 JPF917524:JPF917563 JFJ917524:JFJ917563 IVN917524:IVN917563 ILR917524:ILR917563 IBV917524:IBV917563 HRZ917524:HRZ917563 HID917524:HID917563 GYH917524:GYH917563 GOL917524:GOL917563 GEP917524:GEP917563 FUT917524:FUT917563 FKX917524:FKX917563 FBB917524:FBB917563 ERF917524:ERF917563 EHJ917524:EHJ917563 DXN917524:DXN917563 DNR917524:DNR917563 DDV917524:DDV917563 CTZ917524:CTZ917563 CKD917524:CKD917563 CAH917524:CAH917563 BQL917524:BQL917563 BGP917524:BGP917563 AWT917524:AWT917563 AMX917524:AMX917563 ADB917524:ADB917563 TF917524:TF917563 JJ917524:JJ917563 Q917524:Q917563 WVV851988:WVV852027 WLZ851988:WLZ852027 WCD851988:WCD852027 VSH851988:VSH852027 VIL851988:VIL852027 UYP851988:UYP852027 UOT851988:UOT852027 UEX851988:UEX852027 TVB851988:TVB852027 TLF851988:TLF852027 TBJ851988:TBJ852027 SRN851988:SRN852027 SHR851988:SHR852027 RXV851988:RXV852027 RNZ851988:RNZ852027 RED851988:RED852027 QUH851988:QUH852027 QKL851988:QKL852027 QAP851988:QAP852027 PQT851988:PQT852027 PGX851988:PGX852027 OXB851988:OXB852027 ONF851988:ONF852027 ODJ851988:ODJ852027 NTN851988:NTN852027 NJR851988:NJR852027 MZV851988:MZV852027 MPZ851988:MPZ852027 MGD851988:MGD852027 LWH851988:LWH852027 LML851988:LML852027 LCP851988:LCP852027 KST851988:KST852027 KIX851988:KIX852027 JZB851988:JZB852027 JPF851988:JPF852027 JFJ851988:JFJ852027 IVN851988:IVN852027 ILR851988:ILR852027 IBV851988:IBV852027 HRZ851988:HRZ852027 HID851988:HID852027 GYH851988:GYH852027 GOL851988:GOL852027 GEP851988:GEP852027 FUT851988:FUT852027 FKX851988:FKX852027 FBB851988:FBB852027 ERF851988:ERF852027 EHJ851988:EHJ852027 DXN851988:DXN852027 DNR851988:DNR852027 DDV851988:DDV852027 CTZ851988:CTZ852027 CKD851988:CKD852027 CAH851988:CAH852027 BQL851988:BQL852027 BGP851988:BGP852027 AWT851988:AWT852027 AMX851988:AMX852027 ADB851988:ADB852027 TF851988:TF852027 JJ851988:JJ852027 Q851988:Q852027 WVV786452:WVV786491 WLZ786452:WLZ786491 WCD786452:WCD786491 VSH786452:VSH786491 VIL786452:VIL786491 UYP786452:UYP786491 UOT786452:UOT786491 UEX786452:UEX786491 TVB786452:TVB786491 TLF786452:TLF786491 TBJ786452:TBJ786491 SRN786452:SRN786491 SHR786452:SHR786491 RXV786452:RXV786491 RNZ786452:RNZ786491 RED786452:RED786491 QUH786452:QUH786491 QKL786452:QKL786491 QAP786452:QAP786491 PQT786452:PQT786491 PGX786452:PGX786491 OXB786452:OXB786491 ONF786452:ONF786491 ODJ786452:ODJ786491 NTN786452:NTN786491 NJR786452:NJR786491 MZV786452:MZV786491 MPZ786452:MPZ786491 MGD786452:MGD786491 LWH786452:LWH786491 LML786452:LML786491 LCP786452:LCP786491 KST786452:KST786491 KIX786452:KIX786491 JZB786452:JZB786491 JPF786452:JPF786491 JFJ786452:JFJ786491 IVN786452:IVN786491 ILR786452:ILR786491 IBV786452:IBV786491 HRZ786452:HRZ786491 HID786452:HID786491 GYH786452:GYH786491 GOL786452:GOL786491 GEP786452:GEP786491 FUT786452:FUT786491 FKX786452:FKX786491 FBB786452:FBB786491 ERF786452:ERF786491 EHJ786452:EHJ786491 DXN786452:DXN786491 DNR786452:DNR786491 DDV786452:DDV786491 CTZ786452:CTZ786491 CKD786452:CKD786491 CAH786452:CAH786491 BQL786452:BQL786491 BGP786452:BGP786491 AWT786452:AWT786491 AMX786452:AMX786491 ADB786452:ADB786491 TF786452:TF786491 JJ786452:JJ786491 Q786452:Q786491 WVV720916:WVV720955 WLZ720916:WLZ720955 WCD720916:WCD720955 VSH720916:VSH720955 VIL720916:VIL720955 UYP720916:UYP720955 UOT720916:UOT720955 UEX720916:UEX720955 TVB720916:TVB720955 TLF720916:TLF720955 TBJ720916:TBJ720955 SRN720916:SRN720955 SHR720916:SHR720955 RXV720916:RXV720955 RNZ720916:RNZ720955 RED720916:RED720955 QUH720916:QUH720955 QKL720916:QKL720955 QAP720916:QAP720955 PQT720916:PQT720955 PGX720916:PGX720955 OXB720916:OXB720955 ONF720916:ONF720955 ODJ720916:ODJ720955 NTN720916:NTN720955 NJR720916:NJR720955 MZV720916:MZV720955 MPZ720916:MPZ720955 MGD720916:MGD720955 LWH720916:LWH720955 LML720916:LML720955 LCP720916:LCP720955 KST720916:KST720955 KIX720916:KIX720955 JZB720916:JZB720955 JPF720916:JPF720955 JFJ720916:JFJ720955 IVN720916:IVN720955 ILR720916:ILR720955 IBV720916:IBV720955 HRZ720916:HRZ720955 HID720916:HID720955 GYH720916:GYH720955 GOL720916:GOL720955 GEP720916:GEP720955 FUT720916:FUT720955 FKX720916:FKX720955 FBB720916:FBB720955 ERF720916:ERF720955 EHJ720916:EHJ720955 DXN720916:DXN720955 DNR720916:DNR720955 DDV720916:DDV720955 CTZ720916:CTZ720955 CKD720916:CKD720955 CAH720916:CAH720955 BQL720916:BQL720955 BGP720916:BGP720955 AWT720916:AWT720955 AMX720916:AMX720955 ADB720916:ADB720955 TF720916:TF720955 JJ720916:JJ720955 Q720916:Q720955 WVV655380:WVV655419 WLZ655380:WLZ655419 WCD655380:WCD655419 VSH655380:VSH655419 VIL655380:VIL655419 UYP655380:UYP655419 UOT655380:UOT655419 UEX655380:UEX655419 TVB655380:TVB655419 TLF655380:TLF655419 TBJ655380:TBJ655419 SRN655380:SRN655419 SHR655380:SHR655419 RXV655380:RXV655419 RNZ655380:RNZ655419 RED655380:RED655419 QUH655380:QUH655419 QKL655380:QKL655419 QAP655380:QAP655419 PQT655380:PQT655419 PGX655380:PGX655419 OXB655380:OXB655419 ONF655380:ONF655419 ODJ655380:ODJ655419 NTN655380:NTN655419 NJR655380:NJR655419 MZV655380:MZV655419 MPZ655380:MPZ655419 MGD655380:MGD655419 LWH655380:LWH655419 LML655380:LML655419 LCP655380:LCP655419 KST655380:KST655419 KIX655380:KIX655419 JZB655380:JZB655419 JPF655380:JPF655419 JFJ655380:JFJ655419 IVN655380:IVN655419 ILR655380:ILR655419 IBV655380:IBV655419 HRZ655380:HRZ655419 HID655380:HID655419 GYH655380:GYH655419 GOL655380:GOL655419 GEP655380:GEP655419 FUT655380:FUT655419 FKX655380:FKX655419 FBB655380:FBB655419 ERF655380:ERF655419 EHJ655380:EHJ655419 DXN655380:DXN655419 DNR655380:DNR655419 DDV655380:DDV655419 CTZ655380:CTZ655419 CKD655380:CKD655419 CAH655380:CAH655419 BQL655380:BQL655419 BGP655380:BGP655419 AWT655380:AWT655419 AMX655380:AMX655419 ADB655380:ADB655419 TF655380:TF655419 JJ655380:JJ655419 Q655380:Q655419 WVV589844:WVV589883 WLZ589844:WLZ589883 WCD589844:WCD589883 VSH589844:VSH589883 VIL589844:VIL589883 UYP589844:UYP589883 UOT589844:UOT589883 UEX589844:UEX589883 TVB589844:TVB589883 TLF589844:TLF589883 TBJ589844:TBJ589883 SRN589844:SRN589883 SHR589844:SHR589883 RXV589844:RXV589883 RNZ589844:RNZ589883 RED589844:RED589883 QUH589844:QUH589883 QKL589844:QKL589883 QAP589844:QAP589883 PQT589844:PQT589883 PGX589844:PGX589883 OXB589844:OXB589883 ONF589844:ONF589883 ODJ589844:ODJ589883 NTN589844:NTN589883 NJR589844:NJR589883 MZV589844:MZV589883 MPZ589844:MPZ589883 MGD589844:MGD589883 LWH589844:LWH589883 LML589844:LML589883 LCP589844:LCP589883 KST589844:KST589883 KIX589844:KIX589883 JZB589844:JZB589883 JPF589844:JPF589883 JFJ589844:JFJ589883 IVN589844:IVN589883 ILR589844:ILR589883 IBV589844:IBV589883 HRZ589844:HRZ589883 HID589844:HID589883 GYH589844:GYH589883 GOL589844:GOL589883 GEP589844:GEP589883 FUT589844:FUT589883 FKX589844:FKX589883 FBB589844:FBB589883 ERF589844:ERF589883 EHJ589844:EHJ589883 DXN589844:DXN589883 DNR589844:DNR589883 DDV589844:DDV589883 CTZ589844:CTZ589883 CKD589844:CKD589883 CAH589844:CAH589883 BQL589844:BQL589883 BGP589844:BGP589883 AWT589844:AWT589883 AMX589844:AMX589883 ADB589844:ADB589883 TF589844:TF589883 JJ589844:JJ589883 Q589844:Q589883 WVV524308:WVV524347 WLZ524308:WLZ524347 WCD524308:WCD524347 VSH524308:VSH524347 VIL524308:VIL524347 UYP524308:UYP524347 UOT524308:UOT524347 UEX524308:UEX524347 TVB524308:TVB524347 TLF524308:TLF524347 TBJ524308:TBJ524347 SRN524308:SRN524347 SHR524308:SHR524347 RXV524308:RXV524347 RNZ524308:RNZ524347 RED524308:RED524347 QUH524308:QUH524347 QKL524308:QKL524347 QAP524308:QAP524347 PQT524308:PQT524347 PGX524308:PGX524347 OXB524308:OXB524347 ONF524308:ONF524347 ODJ524308:ODJ524347 NTN524308:NTN524347 NJR524308:NJR524347 MZV524308:MZV524347 MPZ524308:MPZ524347 MGD524308:MGD524347 LWH524308:LWH524347 LML524308:LML524347 LCP524308:LCP524347 KST524308:KST524347 KIX524308:KIX524347 JZB524308:JZB524347 JPF524308:JPF524347 JFJ524308:JFJ524347 IVN524308:IVN524347 ILR524308:ILR524347 IBV524308:IBV524347 HRZ524308:HRZ524347 HID524308:HID524347 GYH524308:GYH524347 GOL524308:GOL524347 GEP524308:GEP524347 FUT524308:FUT524347 FKX524308:FKX524347 FBB524308:FBB524347 ERF524308:ERF524347 EHJ524308:EHJ524347 DXN524308:DXN524347 DNR524308:DNR524347 DDV524308:DDV524347 CTZ524308:CTZ524347 CKD524308:CKD524347 CAH524308:CAH524347 BQL524308:BQL524347 BGP524308:BGP524347 AWT524308:AWT524347 AMX524308:AMX524347 ADB524308:ADB524347 TF524308:TF524347 JJ524308:JJ524347 Q524308:Q524347 WVV458772:WVV458811 WLZ458772:WLZ458811 WCD458772:WCD458811 VSH458772:VSH458811 VIL458772:VIL458811 UYP458772:UYP458811 UOT458772:UOT458811 UEX458772:UEX458811 TVB458772:TVB458811 TLF458772:TLF458811 TBJ458772:TBJ458811 SRN458772:SRN458811 SHR458772:SHR458811 RXV458772:RXV458811 RNZ458772:RNZ458811 RED458772:RED458811 QUH458772:QUH458811 QKL458772:QKL458811 QAP458772:QAP458811 PQT458772:PQT458811 PGX458772:PGX458811 OXB458772:OXB458811 ONF458772:ONF458811 ODJ458772:ODJ458811 NTN458772:NTN458811 NJR458772:NJR458811 MZV458772:MZV458811 MPZ458772:MPZ458811 MGD458772:MGD458811 LWH458772:LWH458811 LML458772:LML458811 LCP458772:LCP458811 KST458772:KST458811 KIX458772:KIX458811 JZB458772:JZB458811 JPF458772:JPF458811 JFJ458772:JFJ458811 IVN458772:IVN458811 ILR458772:ILR458811 IBV458772:IBV458811 HRZ458772:HRZ458811 HID458772:HID458811 GYH458772:GYH458811 GOL458772:GOL458811 GEP458772:GEP458811 FUT458772:FUT458811 FKX458772:FKX458811 FBB458772:FBB458811 ERF458772:ERF458811 EHJ458772:EHJ458811 DXN458772:DXN458811 DNR458772:DNR458811 DDV458772:DDV458811 CTZ458772:CTZ458811 CKD458772:CKD458811 CAH458772:CAH458811 BQL458772:BQL458811 BGP458772:BGP458811 AWT458772:AWT458811 AMX458772:AMX458811 ADB458772:ADB458811 TF458772:TF458811 JJ458772:JJ458811 Q458772:Q458811 WVV393236:WVV393275 WLZ393236:WLZ393275 WCD393236:WCD393275 VSH393236:VSH393275 VIL393236:VIL393275 UYP393236:UYP393275 UOT393236:UOT393275 UEX393236:UEX393275 TVB393236:TVB393275 TLF393236:TLF393275 TBJ393236:TBJ393275 SRN393236:SRN393275 SHR393236:SHR393275 RXV393236:RXV393275 RNZ393236:RNZ393275 RED393236:RED393275 QUH393236:QUH393275 QKL393236:QKL393275 QAP393236:QAP393275 PQT393236:PQT393275 PGX393236:PGX393275 OXB393236:OXB393275 ONF393236:ONF393275 ODJ393236:ODJ393275 NTN393236:NTN393275 NJR393236:NJR393275 MZV393236:MZV393275 MPZ393236:MPZ393275 MGD393236:MGD393275 LWH393236:LWH393275 LML393236:LML393275 LCP393236:LCP393275 KST393236:KST393275 KIX393236:KIX393275 JZB393236:JZB393275 JPF393236:JPF393275 JFJ393236:JFJ393275 IVN393236:IVN393275 ILR393236:ILR393275 IBV393236:IBV393275 HRZ393236:HRZ393275 HID393236:HID393275 GYH393236:GYH393275 GOL393236:GOL393275 GEP393236:GEP393275 FUT393236:FUT393275 FKX393236:FKX393275 FBB393236:FBB393275 ERF393236:ERF393275 EHJ393236:EHJ393275 DXN393236:DXN393275 DNR393236:DNR393275 DDV393236:DDV393275 CTZ393236:CTZ393275 CKD393236:CKD393275 CAH393236:CAH393275 BQL393236:BQL393275 BGP393236:BGP393275 AWT393236:AWT393275 AMX393236:AMX393275 ADB393236:ADB393275 TF393236:TF393275 JJ393236:JJ393275 Q393236:Q393275 WVV327700:WVV327739 WLZ327700:WLZ327739 WCD327700:WCD327739 VSH327700:VSH327739 VIL327700:VIL327739 UYP327700:UYP327739 UOT327700:UOT327739 UEX327700:UEX327739 TVB327700:TVB327739 TLF327700:TLF327739 TBJ327700:TBJ327739 SRN327700:SRN327739 SHR327700:SHR327739 RXV327700:RXV327739 RNZ327700:RNZ327739 RED327700:RED327739 QUH327700:QUH327739 QKL327700:QKL327739 QAP327700:QAP327739 PQT327700:PQT327739 PGX327700:PGX327739 OXB327700:OXB327739 ONF327700:ONF327739 ODJ327700:ODJ327739 NTN327700:NTN327739 NJR327700:NJR327739 MZV327700:MZV327739 MPZ327700:MPZ327739 MGD327700:MGD327739 LWH327700:LWH327739 LML327700:LML327739 LCP327700:LCP327739 KST327700:KST327739 KIX327700:KIX327739 JZB327700:JZB327739 JPF327700:JPF327739 JFJ327700:JFJ327739 IVN327700:IVN327739 ILR327700:ILR327739 IBV327700:IBV327739 HRZ327700:HRZ327739 HID327700:HID327739 GYH327700:GYH327739 GOL327700:GOL327739 GEP327700:GEP327739 FUT327700:FUT327739 FKX327700:FKX327739 FBB327700:FBB327739 ERF327700:ERF327739 EHJ327700:EHJ327739 DXN327700:DXN327739 DNR327700:DNR327739 DDV327700:DDV327739 CTZ327700:CTZ327739 CKD327700:CKD327739 CAH327700:CAH327739 BQL327700:BQL327739 BGP327700:BGP327739 AWT327700:AWT327739 AMX327700:AMX327739 ADB327700:ADB327739 TF327700:TF327739 JJ327700:JJ327739 Q327700:Q327739 WVV262164:WVV262203 WLZ262164:WLZ262203 WCD262164:WCD262203 VSH262164:VSH262203 VIL262164:VIL262203 UYP262164:UYP262203 UOT262164:UOT262203 UEX262164:UEX262203 TVB262164:TVB262203 TLF262164:TLF262203 TBJ262164:TBJ262203 SRN262164:SRN262203 SHR262164:SHR262203 RXV262164:RXV262203 RNZ262164:RNZ262203 RED262164:RED262203 QUH262164:QUH262203 QKL262164:QKL262203 QAP262164:QAP262203 PQT262164:PQT262203 PGX262164:PGX262203 OXB262164:OXB262203 ONF262164:ONF262203 ODJ262164:ODJ262203 NTN262164:NTN262203 NJR262164:NJR262203 MZV262164:MZV262203 MPZ262164:MPZ262203 MGD262164:MGD262203 LWH262164:LWH262203 LML262164:LML262203 LCP262164:LCP262203 KST262164:KST262203 KIX262164:KIX262203 JZB262164:JZB262203 JPF262164:JPF262203 JFJ262164:JFJ262203 IVN262164:IVN262203 ILR262164:ILR262203 IBV262164:IBV262203 HRZ262164:HRZ262203 HID262164:HID262203 GYH262164:GYH262203 GOL262164:GOL262203 GEP262164:GEP262203 FUT262164:FUT262203 FKX262164:FKX262203 FBB262164:FBB262203 ERF262164:ERF262203 EHJ262164:EHJ262203 DXN262164:DXN262203 DNR262164:DNR262203 DDV262164:DDV262203 CTZ262164:CTZ262203 CKD262164:CKD262203 CAH262164:CAH262203 BQL262164:BQL262203 BGP262164:BGP262203 AWT262164:AWT262203 AMX262164:AMX262203 ADB262164:ADB262203 TF262164:TF262203 JJ262164:JJ262203 Q262164:Q262203 WVV196628:WVV196667 WLZ196628:WLZ196667 WCD196628:WCD196667 VSH196628:VSH196667 VIL196628:VIL196667 UYP196628:UYP196667 UOT196628:UOT196667 UEX196628:UEX196667 TVB196628:TVB196667 TLF196628:TLF196667 TBJ196628:TBJ196667 SRN196628:SRN196667 SHR196628:SHR196667 RXV196628:RXV196667 RNZ196628:RNZ196667 RED196628:RED196667 QUH196628:QUH196667 QKL196628:QKL196667 QAP196628:QAP196667 PQT196628:PQT196667 PGX196628:PGX196667 OXB196628:OXB196667 ONF196628:ONF196667 ODJ196628:ODJ196667 NTN196628:NTN196667 NJR196628:NJR196667 MZV196628:MZV196667 MPZ196628:MPZ196667 MGD196628:MGD196667 LWH196628:LWH196667 LML196628:LML196667 LCP196628:LCP196667 KST196628:KST196667 KIX196628:KIX196667 JZB196628:JZB196667 JPF196628:JPF196667 JFJ196628:JFJ196667 IVN196628:IVN196667 ILR196628:ILR196667 IBV196628:IBV196667 HRZ196628:HRZ196667 HID196628:HID196667 GYH196628:GYH196667 GOL196628:GOL196667 GEP196628:GEP196667 FUT196628:FUT196667 FKX196628:FKX196667 FBB196628:FBB196667 ERF196628:ERF196667 EHJ196628:EHJ196667 DXN196628:DXN196667 DNR196628:DNR196667 DDV196628:DDV196667 CTZ196628:CTZ196667 CKD196628:CKD196667 CAH196628:CAH196667 BQL196628:BQL196667 BGP196628:BGP196667 AWT196628:AWT196667 AMX196628:AMX196667 ADB196628:ADB196667 TF196628:TF196667 JJ196628:JJ196667 Q196628:Q196667 WVV131092:WVV131131 WLZ131092:WLZ131131 WCD131092:WCD131131 VSH131092:VSH131131 VIL131092:VIL131131 UYP131092:UYP131131 UOT131092:UOT131131 UEX131092:UEX131131 TVB131092:TVB131131 TLF131092:TLF131131 TBJ131092:TBJ131131 SRN131092:SRN131131 SHR131092:SHR131131 RXV131092:RXV131131 RNZ131092:RNZ131131 RED131092:RED131131 QUH131092:QUH131131 QKL131092:QKL131131 QAP131092:QAP131131 PQT131092:PQT131131 PGX131092:PGX131131 OXB131092:OXB131131 ONF131092:ONF131131 ODJ131092:ODJ131131 NTN131092:NTN131131 NJR131092:NJR131131 MZV131092:MZV131131 MPZ131092:MPZ131131 MGD131092:MGD131131 LWH131092:LWH131131 LML131092:LML131131 LCP131092:LCP131131 KST131092:KST131131 KIX131092:KIX131131 JZB131092:JZB131131 JPF131092:JPF131131 JFJ131092:JFJ131131 IVN131092:IVN131131 ILR131092:ILR131131 IBV131092:IBV131131 HRZ131092:HRZ131131 HID131092:HID131131 GYH131092:GYH131131 GOL131092:GOL131131 GEP131092:GEP131131 FUT131092:FUT131131 FKX131092:FKX131131 FBB131092:FBB131131 ERF131092:ERF131131 EHJ131092:EHJ131131 DXN131092:DXN131131 DNR131092:DNR131131 DDV131092:DDV131131 CTZ131092:CTZ131131 CKD131092:CKD131131 CAH131092:CAH131131 BQL131092:BQL131131 BGP131092:BGP131131 AWT131092:AWT131131 AMX131092:AMX131131 ADB131092:ADB131131 TF131092:TF131131 JJ131092:JJ131131 Q131092:Q131131 WVV65556:WVV65595 WLZ65556:WLZ65595 WCD65556:WCD65595 VSH65556:VSH65595 VIL65556:VIL65595 UYP65556:UYP65595 UOT65556:UOT65595 UEX65556:UEX65595 TVB65556:TVB65595 TLF65556:TLF65595 TBJ65556:TBJ65595 SRN65556:SRN65595 SHR65556:SHR65595 RXV65556:RXV65595 RNZ65556:RNZ65595 RED65556:RED65595 QUH65556:QUH65595 QKL65556:QKL65595 QAP65556:QAP65595 PQT65556:PQT65595 PGX65556:PGX65595 OXB65556:OXB65595 ONF65556:ONF65595 ODJ65556:ODJ65595 NTN65556:NTN65595 NJR65556:NJR65595 MZV65556:MZV65595 MPZ65556:MPZ65595 MGD65556:MGD65595 LWH65556:LWH65595 LML65556:LML65595 LCP65556:LCP65595 KST65556:KST65595 KIX65556:KIX65595 JZB65556:JZB65595 JPF65556:JPF65595 JFJ65556:JFJ65595 IVN65556:IVN65595 ILR65556:ILR65595 IBV65556:IBV65595 HRZ65556:HRZ65595 HID65556:HID65595 GYH65556:GYH65595 GOL65556:GOL65595 GEP65556:GEP65595 FUT65556:FUT65595 FKX65556:FKX65595 FBB65556:FBB65595 ERF65556:ERF65595 EHJ65556:EHJ65595 DXN65556:DXN65595 DNR65556:DNR65595 DDV65556:DDV65595 CTZ65556:CTZ65595 CKD65556:CKD65595 CAH65556:CAH65595 BQL65556:BQL65595 BGP65556:BGP65595 AWT65556:AWT65595 AMX65556:AMX65595 ADB65556:ADB65595 TF65556:TF65595 JJ65556:JJ65595 Q65556:Q65595 WVV20:WVV59 WLZ20:WLZ59 WCD20:WCD59 VSH20:VSH59 VIL20:VIL59 UYP20:UYP59 UOT20:UOT59 UEX20:UEX59 TVB20:TVB59 TLF20:TLF59 TBJ20:TBJ59 SRN20:SRN59 SHR20:SHR59 RXV20:RXV59 RNZ20:RNZ59 RED20:RED59 QUH20:QUH59 QKL20:QKL59 QAP20:QAP59 PQT20:PQT59 PGX20:PGX59 OXB20:OXB59 ONF20:ONF59 ODJ20:ODJ59 NTN20:NTN59 NJR20:NJR59 MZV20:MZV59 MPZ20:MPZ59 MGD20:MGD59 LWH20:LWH59 LML20:LML59 LCP20:LCP59 KST20:KST59 KIX20:KIX59 JZB20:JZB59 JPF20:JPF59 JFJ20:JFJ59 IVN20:IVN59 ILR20:ILR59 IBV20:IBV59 HRZ20:HRZ59 HID20:HID59 GYH20:GYH59 GOL20:GOL59 GEP20:GEP59 FUT20:FUT59 FKX20:FKX59 FBB20:FBB59 ERF20:ERF59 EHJ20:EHJ59 DXN20:DXN59 DNR20:DNR59 DDV20:DDV59 CTZ20:CTZ59 CKD20:CKD59 CAH20:CAH59 BQL20:BQL59 BGP20:BGP59 AWT20:AWT59 AMX20:AMX59 ADB20:ADB59 TF20:TF59 JJ20:JJ59 JE20:JE59 WWB983060:WWB983099 WMF983060:WMF983099 WCJ983060:WCJ983099 VSN983060:VSN983099 VIR983060:VIR983099 UYV983060:UYV983099 UOZ983060:UOZ983099 UFD983060:UFD983099 TVH983060:TVH983099 TLL983060:TLL983099 TBP983060:TBP983099 SRT983060:SRT983099 SHX983060:SHX983099 RYB983060:RYB983099 ROF983060:ROF983099 REJ983060:REJ983099 QUN983060:QUN983099 QKR983060:QKR983099 QAV983060:QAV983099 PQZ983060:PQZ983099 PHD983060:PHD983099 OXH983060:OXH983099 ONL983060:ONL983099 ODP983060:ODP983099 NTT983060:NTT983099 NJX983060:NJX983099 NAB983060:NAB983099 MQF983060:MQF983099 MGJ983060:MGJ983099 LWN983060:LWN983099 LMR983060:LMR983099 LCV983060:LCV983099 KSZ983060:KSZ983099 KJD983060:KJD983099 JZH983060:JZH983099 JPL983060:JPL983099 JFP983060:JFP983099 IVT983060:IVT983099 ILX983060:ILX983099 ICB983060:ICB983099 HSF983060:HSF983099 HIJ983060:HIJ983099 GYN983060:GYN983099 GOR983060:GOR983099 GEV983060:GEV983099 FUZ983060:FUZ983099 FLD983060:FLD983099 FBH983060:FBH983099 ERL983060:ERL983099 EHP983060:EHP983099 DXT983060:DXT983099 DNX983060:DNX983099 DEB983060:DEB983099 CUF983060:CUF983099 CKJ983060:CKJ983099 CAN983060:CAN983099 BQR983060:BQR983099 BGV983060:BGV983099 AWZ983060:AWZ983099 AND983060:AND983099 ADH983060:ADH983099 TL983060:TL983099 JP983060:JP983099 V983060:V983099 WWB917524:WWB917563 WMF917524:WMF917563 WCJ917524:WCJ917563 VSN917524:VSN917563 VIR917524:VIR917563 UYV917524:UYV917563 UOZ917524:UOZ917563 UFD917524:UFD917563 TVH917524:TVH917563 TLL917524:TLL917563 TBP917524:TBP917563 SRT917524:SRT917563 SHX917524:SHX917563 RYB917524:RYB917563 ROF917524:ROF917563 REJ917524:REJ917563 QUN917524:QUN917563 QKR917524:QKR917563 QAV917524:QAV917563 PQZ917524:PQZ917563 PHD917524:PHD917563 OXH917524:OXH917563 ONL917524:ONL917563 ODP917524:ODP917563 NTT917524:NTT917563 NJX917524:NJX917563 NAB917524:NAB917563 MQF917524:MQF917563 MGJ917524:MGJ917563 LWN917524:LWN917563 LMR917524:LMR917563 LCV917524:LCV917563 KSZ917524:KSZ917563 KJD917524:KJD917563 JZH917524:JZH917563 JPL917524:JPL917563 JFP917524:JFP917563 IVT917524:IVT917563 ILX917524:ILX917563 ICB917524:ICB917563 HSF917524:HSF917563 HIJ917524:HIJ917563 GYN917524:GYN917563 GOR917524:GOR917563 GEV917524:GEV917563 FUZ917524:FUZ917563 FLD917524:FLD917563 FBH917524:FBH917563 ERL917524:ERL917563 EHP917524:EHP917563 DXT917524:DXT917563 DNX917524:DNX917563 DEB917524:DEB917563 CUF917524:CUF917563 CKJ917524:CKJ917563 CAN917524:CAN917563 BQR917524:BQR917563 BGV917524:BGV917563 AWZ917524:AWZ917563 AND917524:AND917563 ADH917524:ADH917563 TL917524:TL917563 JP917524:JP917563 V917524:V917563 WWB851988:WWB852027 WMF851988:WMF852027 WCJ851988:WCJ852027 VSN851988:VSN852027 VIR851988:VIR852027 UYV851988:UYV852027 UOZ851988:UOZ852027 UFD851988:UFD852027 TVH851988:TVH852027 TLL851988:TLL852027 TBP851988:TBP852027 SRT851988:SRT852027 SHX851988:SHX852027 RYB851988:RYB852027 ROF851988:ROF852027 REJ851988:REJ852027 QUN851988:QUN852027 QKR851988:QKR852027 QAV851988:QAV852027 PQZ851988:PQZ852027 PHD851988:PHD852027 OXH851988:OXH852027 ONL851988:ONL852027 ODP851988:ODP852027 NTT851988:NTT852027 NJX851988:NJX852027 NAB851988:NAB852027 MQF851988:MQF852027 MGJ851988:MGJ852027 LWN851988:LWN852027 LMR851988:LMR852027 LCV851988:LCV852027 KSZ851988:KSZ852027 KJD851988:KJD852027 JZH851988:JZH852027 JPL851988:JPL852027 JFP851988:JFP852027 IVT851988:IVT852027 ILX851988:ILX852027 ICB851988:ICB852027 HSF851988:HSF852027 HIJ851988:HIJ852027 GYN851988:GYN852027 GOR851988:GOR852027 GEV851988:GEV852027 FUZ851988:FUZ852027 FLD851988:FLD852027 FBH851988:FBH852027 ERL851988:ERL852027 EHP851988:EHP852027 DXT851988:DXT852027 DNX851988:DNX852027 DEB851988:DEB852027 CUF851988:CUF852027 CKJ851988:CKJ852027 CAN851988:CAN852027 BQR851988:BQR852027 BGV851988:BGV852027 AWZ851988:AWZ852027 AND851988:AND852027 ADH851988:ADH852027 TL851988:TL852027 JP851988:JP852027 V851988:V852027 WWB786452:WWB786491 WMF786452:WMF786491 WCJ786452:WCJ786491 VSN786452:VSN786491 VIR786452:VIR786491 UYV786452:UYV786491 UOZ786452:UOZ786491 UFD786452:UFD786491 TVH786452:TVH786491 TLL786452:TLL786491 TBP786452:TBP786491 SRT786452:SRT786491 SHX786452:SHX786491 RYB786452:RYB786491 ROF786452:ROF786491 REJ786452:REJ786491 QUN786452:QUN786491 QKR786452:QKR786491 QAV786452:QAV786491 PQZ786452:PQZ786491 PHD786452:PHD786491 OXH786452:OXH786491 ONL786452:ONL786491 ODP786452:ODP786491 NTT786452:NTT786491 NJX786452:NJX786491 NAB786452:NAB786491 MQF786452:MQF786491 MGJ786452:MGJ786491 LWN786452:LWN786491 LMR786452:LMR786491 LCV786452:LCV786491 KSZ786452:KSZ786491 KJD786452:KJD786491 JZH786452:JZH786491 JPL786452:JPL786491 JFP786452:JFP786491 IVT786452:IVT786491 ILX786452:ILX786491 ICB786452:ICB786491 HSF786452:HSF786491 HIJ786452:HIJ786491 GYN786452:GYN786491 GOR786452:GOR786491 GEV786452:GEV786491 FUZ786452:FUZ786491 FLD786452:FLD786491 FBH786452:FBH786491 ERL786452:ERL786491 EHP786452:EHP786491 DXT786452:DXT786491 DNX786452:DNX786491 DEB786452:DEB786491 CUF786452:CUF786491 CKJ786452:CKJ786491 CAN786452:CAN786491 BQR786452:BQR786491 BGV786452:BGV786491 AWZ786452:AWZ786491 AND786452:AND786491 ADH786452:ADH786491 TL786452:TL786491 JP786452:JP786491 V786452:V786491 WWB720916:WWB720955 WMF720916:WMF720955 WCJ720916:WCJ720955 VSN720916:VSN720955 VIR720916:VIR720955 UYV720916:UYV720955 UOZ720916:UOZ720955 UFD720916:UFD720955 TVH720916:TVH720955 TLL720916:TLL720955 TBP720916:TBP720955 SRT720916:SRT720955 SHX720916:SHX720955 RYB720916:RYB720955 ROF720916:ROF720955 REJ720916:REJ720955 QUN720916:QUN720955 QKR720916:QKR720955 QAV720916:QAV720955 PQZ720916:PQZ720955 PHD720916:PHD720955 OXH720916:OXH720955 ONL720916:ONL720955 ODP720916:ODP720955 NTT720916:NTT720955 NJX720916:NJX720955 NAB720916:NAB720955 MQF720916:MQF720955 MGJ720916:MGJ720955 LWN720916:LWN720955 LMR720916:LMR720955 LCV720916:LCV720955 KSZ720916:KSZ720955 KJD720916:KJD720955 JZH720916:JZH720955 JPL720916:JPL720955 JFP720916:JFP720955 IVT720916:IVT720955 ILX720916:ILX720955 ICB720916:ICB720955 HSF720916:HSF720955 HIJ720916:HIJ720955 GYN720916:GYN720955 GOR720916:GOR720955 GEV720916:GEV720955 FUZ720916:FUZ720955 FLD720916:FLD720955 FBH720916:FBH720955 ERL720916:ERL720955 EHP720916:EHP720955 DXT720916:DXT720955 DNX720916:DNX720955 DEB720916:DEB720955 CUF720916:CUF720955 CKJ720916:CKJ720955 CAN720916:CAN720955 BQR720916:BQR720955 BGV720916:BGV720955 AWZ720916:AWZ720955 AND720916:AND720955 ADH720916:ADH720955 TL720916:TL720955 JP720916:JP720955 V720916:V720955 WWB655380:WWB655419 WMF655380:WMF655419 WCJ655380:WCJ655419 VSN655380:VSN655419 VIR655380:VIR655419 UYV655380:UYV655419 UOZ655380:UOZ655419 UFD655380:UFD655419 TVH655380:TVH655419 TLL655380:TLL655419 TBP655380:TBP655419 SRT655380:SRT655419 SHX655380:SHX655419 RYB655380:RYB655419 ROF655380:ROF655419 REJ655380:REJ655419 QUN655380:QUN655419 QKR655380:QKR655419 QAV655380:QAV655419 PQZ655380:PQZ655419 PHD655380:PHD655419 OXH655380:OXH655419 ONL655380:ONL655419 ODP655380:ODP655419 NTT655380:NTT655419 NJX655380:NJX655419 NAB655380:NAB655419 MQF655380:MQF655419 MGJ655380:MGJ655419 LWN655380:LWN655419 LMR655380:LMR655419 LCV655380:LCV655419 KSZ655380:KSZ655419 KJD655380:KJD655419 JZH655380:JZH655419 JPL655380:JPL655419 JFP655380:JFP655419 IVT655380:IVT655419 ILX655380:ILX655419 ICB655380:ICB655419 HSF655380:HSF655419 HIJ655380:HIJ655419 GYN655380:GYN655419 GOR655380:GOR655419 GEV655380:GEV655419 FUZ655380:FUZ655419 FLD655380:FLD655419 FBH655380:FBH655419 ERL655380:ERL655419 EHP655380:EHP655419 DXT655380:DXT655419 DNX655380:DNX655419 DEB655380:DEB655419 CUF655380:CUF655419 CKJ655380:CKJ655419 CAN655380:CAN655419 BQR655380:BQR655419 BGV655380:BGV655419 AWZ655380:AWZ655419 AND655380:AND655419 ADH655380:ADH655419 TL655380:TL655419 JP655380:JP655419 V655380:V655419 WWB589844:WWB589883 WMF589844:WMF589883 WCJ589844:WCJ589883 VSN589844:VSN589883 VIR589844:VIR589883 UYV589844:UYV589883 UOZ589844:UOZ589883 UFD589844:UFD589883 TVH589844:TVH589883 TLL589844:TLL589883 TBP589844:TBP589883 SRT589844:SRT589883 SHX589844:SHX589883 RYB589844:RYB589883 ROF589844:ROF589883 REJ589844:REJ589883 QUN589844:QUN589883 QKR589844:QKR589883 QAV589844:QAV589883 PQZ589844:PQZ589883 PHD589844:PHD589883 OXH589844:OXH589883 ONL589844:ONL589883 ODP589844:ODP589883 NTT589844:NTT589883 NJX589844:NJX589883 NAB589844:NAB589883 MQF589844:MQF589883 MGJ589844:MGJ589883 LWN589844:LWN589883 LMR589844:LMR589883 LCV589844:LCV589883 KSZ589844:KSZ589883 KJD589844:KJD589883 JZH589844:JZH589883 JPL589844:JPL589883 JFP589844:JFP589883 IVT589844:IVT589883 ILX589844:ILX589883 ICB589844:ICB589883 HSF589844:HSF589883 HIJ589844:HIJ589883 GYN589844:GYN589883 GOR589844:GOR589883 GEV589844:GEV589883 FUZ589844:FUZ589883 FLD589844:FLD589883 FBH589844:FBH589883 ERL589844:ERL589883 EHP589844:EHP589883 DXT589844:DXT589883 DNX589844:DNX589883 DEB589844:DEB589883 CUF589844:CUF589883 CKJ589844:CKJ589883 CAN589844:CAN589883 BQR589844:BQR589883 BGV589844:BGV589883 AWZ589844:AWZ589883 AND589844:AND589883 ADH589844:ADH589883 TL589844:TL589883 JP589844:JP589883 V589844:V589883 WWB524308:WWB524347 WMF524308:WMF524347 WCJ524308:WCJ524347 VSN524308:VSN524347 VIR524308:VIR524347 UYV524308:UYV524347 UOZ524308:UOZ524347 UFD524308:UFD524347 TVH524308:TVH524347 TLL524308:TLL524347 TBP524308:TBP524347 SRT524308:SRT524347 SHX524308:SHX524347 RYB524308:RYB524347 ROF524308:ROF524347 REJ524308:REJ524347 QUN524308:QUN524347 QKR524308:QKR524347 QAV524308:QAV524347 PQZ524308:PQZ524347 PHD524308:PHD524347 OXH524308:OXH524347 ONL524308:ONL524347 ODP524308:ODP524347 NTT524308:NTT524347 NJX524308:NJX524347 NAB524308:NAB524347 MQF524308:MQF524347 MGJ524308:MGJ524347 LWN524308:LWN524347 LMR524308:LMR524347 LCV524308:LCV524347 KSZ524308:KSZ524347 KJD524308:KJD524347 JZH524308:JZH524347 JPL524308:JPL524347 JFP524308:JFP524347 IVT524308:IVT524347 ILX524308:ILX524347 ICB524308:ICB524347 HSF524308:HSF524347 HIJ524308:HIJ524347 GYN524308:GYN524347 GOR524308:GOR524347 GEV524308:GEV524347 FUZ524308:FUZ524347 FLD524308:FLD524347 FBH524308:FBH524347 ERL524308:ERL524347 EHP524308:EHP524347 DXT524308:DXT524347 DNX524308:DNX524347 DEB524308:DEB524347 CUF524308:CUF524347 CKJ524308:CKJ524347 CAN524308:CAN524347 BQR524308:BQR524347 BGV524308:BGV524347 AWZ524308:AWZ524347 AND524308:AND524347 ADH524308:ADH524347 TL524308:TL524347 JP524308:JP524347 V524308:V524347 WWB458772:WWB458811 WMF458772:WMF458811 WCJ458772:WCJ458811 VSN458772:VSN458811 VIR458772:VIR458811 UYV458772:UYV458811 UOZ458772:UOZ458811 UFD458772:UFD458811 TVH458772:TVH458811 TLL458772:TLL458811 TBP458772:TBP458811 SRT458772:SRT458811 SHX458772:SHX458811 RYB458772:RYB458811 ROF458772:ROF458811 REJ458772:REJ458811 QUN458772:QUN458811 QKR458772:QKR458811 QAV458772:QAV458811 PQZ458772:PQZ458811 PHD458772:PHD458811 OXH458772:OXH458811 ONL458772:ONL458811 ODP458772:ODP458811 NTT458772:NTT458811 NJX458772:NJX458811 NAB458772:NAB458811 MQF458772:MQF458811 MGJ458772:MGJ458811 LWN458772:LWN458811 LMR458772:LMR458811 LCV458772:LCV458811 KSZ458772:KSZ458811 KJD458772:KJD458811 JZH458772:JZH458811 JPL458772:JPL458811 JFP458772:JFP458811 IVT458772:IVT458811 ILX458772:ILX458811 ICB458772:ICB458811 HSF458772:HSF458811 HIJ458772:HIJ458811 GYN458772:GYN458811 GOR458772:GOR458811 GEV458772:GEV458811 FUZ458772:FUZ458811 FLD458772:FLD458811 FBH458772:FBH458811 ERL458772:ERL458811 EHP458772:EHP458811 DXT458772:DXT458811 DNX458772:DNX458811 DEB458772:DEB458811 CUF458772:CUF458811 CKJ458772:CKJ458811 CAN458772:CAN458811 BQR458772:BQR458811 BGV458772:BGV458811 AWZ458772:AWZ458811 AND458772:AND458811 ADH458772:ADH458811 TL458772:TL458811 JP458772:JP458811 V458772:V458811 WWB393236:WWB393275 WMF393236:WMF393275 WCJ393236:WCJ393275 VSN393236:VSN393275 VIR393236:VIR393275 UYV393236:UYV393275 UOZ393236:UOZ393275 UFD393236:UFD393275 TVH393236:TVH393275 TLL393236:TLL393275 TBP393236:TBP393275 SRT393236:SRT393275 SHX393236:SHX393275 RYB393236:RYB393275 ROF393236:ROF393275 REJ393236:REJ393275 QUN393236:QUN393275 QKR393236:QKR393275 QAV393236:QAV393275 PQZ393236:PQZ393275 PHD393236:PHD393275 OXH393236:OXH393275 ONL393236:ONL393275 ODP393236:ODP393275 NTT393236:NTT393275 NJX393236:NJX393275 NAB393236:NAB393275 MQF393236:MQF393275 MGJ393236:MGJ393275 LWN393236:LWN393275 LMR393236:LMR393275 LCV393236:LCV393275 KSZ393236:KSZ393275 KJD393236:KJD393275 JZH393236:JZH393275 JPL393236:JPL393275 JFP393236:JFP393275 IVT393236:IVT393275 ILX393236:ILX393275 ICB393236:ICB393275 HSF393236:HSF393275 HIJ393236:HIJ393275 GYN393236:GYN393275 GOR393236:GOR393275 GEV393236:GEV393275 FUZ393236:FUZ393275 FLD393236:FLD393275 FBH393236:FBH393275 ERL393236:ERL393275 EHP393236:EHP393275 DXT393236:DXT393275 DNX393236:DNX393275 DEB393236:DEB393275 CUF393236:CUF393275 CKJ393236:CKJ393275 CAN393236:CAN393275 BQR393236:BQR393275 BGV393236:BGV393275 AWZ393236:AWZ393275 AND393236:AND393275 ADH393236:ADH393275 TL393236:TL393275 JP393236:JP393275 V393236:V393275 WWB327700:WWB327739 WMF327700:WMF327739 WCJ327700:WCJ327739 VSN327700:VSN327739 VIR327700:VIR327739 UYV327700:UYV327739 UOZ327700:UOZ327739 UFD327700:UFD327739 TVH327700:TVH327739 TLL327700:TLL327739 TBP327700:TBP327739 SRT327700:SRT327739 SHX327700:SHX327739 RYB327700:RYB327739 ROF327700:ROF327739 REJ327700:REJ327739 QUN327700:QUN327739 QKR327700:QKR327739 QAV327700:QAV327739 PQZ327700:PQZ327739 PHD327700:PHD327739 OXH327700:OXH327739 ONL327700:ONL327739 ODP327700:ODP327739 NTT327700:NTT327739 NJX327700:NJX327739 NAB327700:NAB327739 MQF327700:MQF327739 MGJ327700:MGJ327739 LWN327700:LWN327739 LMR327700:LMR327739 LCV327700:LCV327739 KSZ327700:KSZ327739 KJD327700:KJD327739 JZH327700:JZH327739 JPL327700:JPL327739 JFP327700:JFP327739 IVT327700:IVT327739 ILX327700:ILX327739 ICB327700:ICB327739 HSF327700:HSF327739 HIJ327700:HIJ327739 GYN327700:GYN327739 GOR327700:GOR327739 GEV327700:GEV327739 FUZ327700:FUZ327739 FLD327700:FLD327739 FBH327700:FBH327739 ERL327700:ERL327739 EHP327700:EHP327739 DXT327700:DXT327739 DNX327700:DNX327739 DEB327700:DEB327739 CUF327700:CUF327739 CKJ327700:CKJ327739 CAN327700:CAN327739 BQR327700:BQR327739 BGV327700:BGV327739 AWZ327700:AWZ327739 AND327700:AND327739 ADH327700:ADH327739 TL327700:TL327739 JP327700:JP327739 V327700:V327739 WWB262164:WWB262203 WMF262164:WMF262203 WCJ262164:WCJ262203 VSN262164:VSN262203 VIR262164:VIR262203 UYV262164:UYV262203 UOZ262164:UOZ262203 UFD262164:UFD262203 TVH262164:TVH262203 TLL262164:TLL262203 TBP262164:TBP262203 SRT262164:SRT262203 SHX262164:SHX262203 RYB262164:RYB262203 ROF262164:ROF262203 REJ262164:REJ262203 QUN262164:QUN262203 QKR262164:QKR262203 QAV262164:QAV262203 PQZ262164:PQZ262203 PHD262164:PHD262203 OXH262164:OXH262203 ONL262164:ONL262203 ODP262164:ODP262203 NTT262164:NTT262203 NJX262164:NJX262203 NAB262164:NAB262203 MQF262164:MQF262203 MGJ262164:MGJ262203 LWN262164:LWN262203 LMR262164:LMR262203 LCV262164:LCV262203 KSZ262164:KSZ262203 KJD262164:KJD262203 JZH262164:JZH262203 JPL262164:JPL262203 JFP262164:JFP262203 IVT262164:IVT262203 ILX262164:ILX262203 ICB262164:ICB262203 HSF262164:HSF262203 HIJ262164:HIJ262203 GYN262164:GYN262203 GOR262164:GOR262203 GEV262164:GEV262203 FUZ262164:FUZ262203 FLD262164:FLD262203 FBH262164:FBH262203 ERL262164:ERL262203 EHP262164:EHP262203 DXT262164:DXT262203 DNX262164:DNX262203 DEB262164:DEB262203 CUF262164:CUF262203 CKJ262164:CKJ262203 CAN262164:CAN262203 BQR262164:BQR262203 BGV262164:BGV262203 AWZ262164:AWZ262203 AND262164:AND262203 ADH262164:ADH262203 TL262164:TL262203 JP262164:JP262203 V262164:V262203 WWB196628:WWB196667 WMF196628:WMF196667 WCJ196628:WCJ196667 VSN196628:VSN196667 VIR196628:VIR196667 UYV196628:UYV196667 UOZ196628:UOZ196667 UFD196628:UFD196667 TVH196628:TVH196667 TLL196628:TLL196667 TBP196628:TBP196667 SRT196628:SRT196667 SHX196628:SHX196667 RYB196628:RYB196667 ROF196628:ROF196667 REJ196628:REJ196667 QUN196628:QUN196667 QKR196628:QKR196667 QAV196628:QAV196667 PQZ196628:PQZ196667 PHD196628:PHD196667 OXH196628:OXH196667 ONL196628:ONL196667 ODP196628:ODP196667 NTT196628:NTT196667 NJX196628:NJX196667 NAB196628:NAB196667 MQF196628:MQF196667 MGJ196628:MGJ196667 LWN196628:LWN196667 LMR196628:LMR196667 LCV196628:LCV196667 KSZ196628:KSZ196667 KJD196628:KJD196667 JZH196628:JZH196667 JPL196628:JPL196667 JFP196628:JFP196667 IVT196628:IVT196667 ILX196628:ILX196667 ICB196628:ICB196667 HSF196628:HSF196667 HIJ196628:HIJ196667 GYN196628:GYN196667 GOR196628:GOR196667 GEV196628:GEV196667 FUZ196628:FUZ196667 FLD196628:FLD196667 FBH196628:FBH196667 ERL196628:ERL196667 EHP196628:EHP196667 DXT196628:DXT196667 DNX196628:DNX196667 DEB196628:DEB196667 CUF196628:CUF196667 CKJ196628:CKJ196667 CAN196628:CAN196667 BQR196628:BQR196667 BGV196628:BGV196667 AWZ196628:AWZ196667 AND196628:AND196667 ADH196628:ADH196667 TL196628:TL196667 JP196628:JP196667 V196628:V196667 WWB131092:WWB131131 WMF131092:WMF131131 WCJ131092:WCJ131131 VSN131092:VSN131131 VIR131092:VIR131131 UYV131092:UYV131131 UOZ131092:UOZ131131 UFD131092:UFD131131 TVH131092:TVH131131 TLL131092:TLL131131 TBP131092:TBP131131 SRT131092:SRT131131 SHX131092:SHX131131 RYB131092:RYB131131 ROF131092:ROF131131 REJ131092:REJ131131 QUN131092:QUN131131 QKR131092:QKR131131 QAV131092:QAV131131 PQZ131092:PQZ131131 PHD131092:PHD131131 OXH131092:OXH131131 ONL131092:ONL131131 ODP131092:ODP131131 NTT131092:NTT131131 NJX131092:NJX131131 NAB131092:NAB131131 MQF131092:MQF131131 MGJ131092:MGJ131131 LWN131092:LWN131131 LMR131092:LMR131131 LCV131092:LCV131131 KSZ131092:KSZ131131 KJD131092:KJD131131 JZH131092:JZH131131 JPL131092:JPL131131 JFP131092:JFP131131 IVT131092:IVT131131 ILX131092:ILX131131 ICB131092:ICB131131 HSF131092:HSF131131 HIJ131092:HIJ131131 GYN131092:GYN131131 GOR131092:GOR131131 GEV131092:GEV131131 FUZ131092:FUZ131131 FLD131092:FLD131131 FBH131092:FBH131131 ERL131092:ERL131131 EHP131092:EHP131131 DXT131092:DXT131131 DNX131092:DNX131131 DEB131092:DEB131131 CUF131092:CUF131131 CKJ131092:CKJ131131 CAN131092:CAN131131 BQR131092:BQR131131 BGV131092:BGV131131 AWZ131092:AWZ131131 AND131092:AND131131 ADH131092:ADH131131 TL131092:TL131131 JP131092:JP131131 V131092:V131131 WWB65556:WWB65595 WMF65556:WMF65595 WCJ65556:WCJ65595 VSN65556:VSN65595 VIR65556:VIR65595 UYV65556:UYV65595 UOZ65556:UOZ65595 UFD65556:UFD65595 TVH65556:TVH65595 TLL65556:TLL65595 TBP65556:TBP65595 SRT65556:SRT65595 SHX65556:SHX65595 RYB65556:RYB65595 ROF65556:ROF65595 REJ65556:REJ65595 QUN65556:QUN65595 QKR65556:QKR65595 QAV65556:QAV65595 PQZ65556:PQZ65595 PHD65556:PHD65595 OXH65556:OXH65595 ONL65556:ONL65595 ODP65556:ODP65595 NTT65556:NTT65595 NJX65556:NJX65595 NAB65556:NAB65595 MQF65556:MQF65595 MGJ65556:MGJ65595 LWN65556:LWN65595 LMR65556:LMR65595 LCV65556:LCV65595 KSZ65556:KSZ65595 KJD65556:KJD65595 JZH65556:JZH65595 JPL65556:JPL65595 JFP65556:JFP65595 IVT65556:IVT65595 ILX65556:ILX65595 ICB65556:ICB65595 HSF65556:HSF65595 HIJ65556:HIJ65595 GYN65556:GYN65595 GOR65556:GOR65595 GEV65556:GEV65595 FUZ65556:FUZ65595 FLD65556:FLD65595 FBH65556:FBH65595 ERL65556:ERL65595 EHP65556:EHP65595 DXT65556:DXT65595 DNX65556:DNX65595 DEB65556:DEB65595 CUF65556:CUF65595 CKJ65556:CKJ65595 CAN65556:CAN65595 BQR65556:BQR65595 BGV65556:BGV65595 AWZ65556:AWZ65595 AND65556:AND65595 ADH65556:ADH65595 TL65556:TL65595 JP65556:JP65595 V65556:V65595 WWB20:WWB59 WMF20:WMF59 WCJ20:WCJ59 VSN20:VSN59 VIR20:VIR59 UYV20:UYV59 UOZ20:UOZ59 UFD20:UFD59 TVH20:TVH59 TLL20:TLL59 TBP20:TBP59 SRT20:SRT59 SHX20:SHX59 RYB20:RYB59 ROF20:ROF59 REJ20:REJ59 QUN20:QUN59 QKR20:QKR59 QAV20:QAV59 PQZ20:PQZ59 PHD20:PHD59 OXH20:OXH59 ONL20:ONL59 ODP20:ODP59 NTT20:NTT59 NJX20:NJX59 NAB20:NAB59 MQF20:MQF59 MGJ20:MGJ59 LWN20:LWN59 LMR20:LMR59 LCV20:LCV59 KSZ20:KSZ59 KJD20:KJD59 JZH20:JZH59 JPL20:JPL59 JFP20:JFP59 IVT20:IVT59 ILX20:ILX59 ICB20:ICB59 HSF20:HSF59 HIJ20:HIJ59 GYN20:GYN59 GOR20:GOR59 GEV20:GEV59 FUZ20:FUZ59 FLD20:FLD59 FBH20:FBH59 ERL20:ERL59 EHP20:EHP59 DXT20:DXT59 DNX20:DNX59 DEB20:DEB59 CUF20:CUF59 CKJ20:CKJ59 CAN20:CAN59 BQR20:BQR59 BGV20:BGV59 AWZ20:AWZ59 AND20:AND59 ADH20:ADH59 TL20:TL59 JP20:JP59 L22:L59 WVL983060:WVL983099 WLP983060:WLP983099 WBT983060:WBT983099 VRX983060:VRX983099 VIB983060:VIB983099 UYF983060:UYF983099 UOJ983060:UOJ983099 UEN983060:UEN983099 TUR983060:TUR983099 TKV983060:TKV983099 TAZ983060:TAZ983099 SRD983060:SRD983099 SHH983060:SHH983099 RXL983060:RXL983099 RNP983060:RNP983099 RDT983060:RDT983099 QTX983060:QTX983099 QKB983060:QKB983099 QAF983060:QAF983099 PQJ983060:PQJ983099 PGN983060:PGN983099 OWR983060:OWR983099 OMV983060:OMV983099 OCZ983060:OCZ983099 NTD983060:NTD983099 NJH983060:NJH983099 MZL983060:MZL983099 MPP983060:MPP983099 MFT983060:MFT983099 LVX983060:LVX983099 LMB983060:LMB983099 LCF983060:LCF983099 KSJ983060:KSJ983099 KIN983060:KIN983099 JYR983060:JYR983099 JOV983060:JOV983099 JEZ983060:JEZ983099 IVD983060:IVD983099 ILH983060:ILH983099 IBL983060:IBL983099 HRP983060:HRP983099 HHT983060:HHT983099 GXX983060:GXX983099 GOB983060:GOB983099 GEF983060:GEF983099 FUJ983060:FUJ983099 FKN983060:FKN983099 FAR983060:FAR983099 EQV983060:EQV983099 EGZ983060:EGZ983099 DXD983060:DXD983099 DNH983060:DNH983099 DDL983060:DDL983099 CTP983060:CTP983099 CJT983060:CJT983099 BZX983060:BZX983099 BQB983060:BQB983099 BGF983060:BGF983099 AWJ983060:AWJ983099 AMN983060:AMN983099 ACR983060:ACR983099 SV983060:SV983099 IZ983060:IZ983099 G983060:G983099 WVL917524:WVL917563 WLP917524:WLP917563 WBT917524:WBT917563 VRX917524:VRX917563 VIB917524:VIB917563 UYF917524:UYF917563 UOJ917524:UOJ917563 UEN917524:UEN917563 TUR917524:TUR917563 TKV917524:TKV917563 TAZ917524:TAZ917563 SRD917524:SRD917563 SHH917524:SHH917563 RXL917524:RXL917563 RNP917524:RNP917563 RDT917524:RDT917563 QTX917524:QTX917563 QKB917524:QKB917563 QAF917524:QAF917563 PQJ917524:PQJ917563 PGN917524:PGN917563 OWR917524:OWR917563 OMV917524:OMV917563 OCZ917524:OCZ917563 NTD917524:NTD917563 NJH917524:NJH917563 MZL917524:MZL917563 MPP917524:MPP917563 MFT917524:MFT917563 LVX917524:LVX917563 LMB917524:LMB917563 LCF917524:LCF917563 KSJ917524:KSJ917563 KIN917524:KIN917563 JYR917524:JYR917563 JOV917524:JOV917563 JEZ917524:JEZ917563 IVD917524:IVD917563 ILH917524:ILH917563 IBL917524:IBL917563 HRP917524:HRP917563 HHT917524:HHT917563 GXX917524:GXX917563 GOB917524:GOB917563 GEF917524:GEF917563 FUJ917524:FUJ917563 FKN917524:FKN917563 FAR917524:FAR917563 EQV917524:EQV917563 EGZ917524:EGZ917563 DXD917524:DXD917563 DNH917524:DNH917563 DDL917524:DDL917563 CTP917524:CTP917563 CJT917524:CJT917563 BZX917524:BZX917563 BQB917524:BQB917563 BGF917524:BGF917563 AWJ917524:AWJ917563 AMN917524:AMN917563 ACR917524:ACR917563 SV917524:SV917563 IZ917524:IZ917563 G917524:G917563 WVL851988:WVL852027 WLP851988:WLP852027 WBT851988:WBT852027 VRX851988:VRX852027 VIB851988:VIB852027 UYF851988:UYF852027 UOJ851988:UOJ852027 UEN851988:UEN852027 TUR851988:TUR852027 TKV851988:TKV852027 TAZ851988:TAZ852027 SRD851988:SRD852027 SHH851988:SHH852027 RXL851988:RXL852027 RNP851988:RNP852027 RDT851988:RDT852027 QTX851988:QTX852027 QKB851988:QKB852027 QAF851988:QAF852027 PQJ851988:PQJ852027 PGN851988:PGN852027 OWR851988:OWR852027 OMV851988:OMV852027 OCZ851988:OCZ852027 NTD851988:NTD852027 NJH851988:NJH852027 MZL851988:MZL852027 MPP851988:MPP852027 MFT851988:MFT852027 LVX851988:LVX852027 LMB851988:LMB852027 LCF851988:LCF852027 KSJ851988:KSJ852027 KIN851988:KIN852027 JYR851988:JYR852027 JOV851988:JOV852027 JEZ851988:JEZ852027 IVD851988:IVD852027 ILH851988:ILH852027 IBL851988:IBL852027 HRP851988:HRP852027 HHT851988:HHT852027 GXX851988:GXX852027 GOB851988:GOB852027 GEF851988:GEF852027 FUJ851988:FUJ852027 FKN851988:FKN852027 FAR851988:FAR852027 EQV851988:EQV852027 EGZ851988:EGZ852027 DXD851988:DXD852027 DNH851988:DNH852027 DDL851988:DDL852027 CTP851988:CTP852027 CJT851988:CJT852027 BZX851988:BZX852027 BQB851988:BQB852027 BGF851988:BGF852027 AWJ851988:AWJ852027 AMN851988:AMN852027 ACR851988:ACR852027 SV851988:SV852027 IZ851988:IZ852027 G851988:G852027 WVL786452:WVL786491 WLP786452:WLP786491 WBT786452:WBT786491 VRX786452:VRX786491 VIB786452:VIB786491 UYF786452:UYF786491 UOJ786452:UOJ786491 UEN786452:UEN786491 TUR786452:TUR786491 TKV786452:TKV786491 TAZ786452:TAZ786491 SRD786452:SRD786491 SHH786452:SHH786491 RXL786452:RXL786491 RNP786452:RNP786491 RDT786452:RDT786491 QTX786452:QTX786491 QKB786452:QKB786491 QAF786452:QAF786491 PQJ786452:PQJ786491 PGN786452:PGN786491 OWR786452:OWR786491 OMV786452:OMV786491 OCZ786452:OCZ786491 NTD786452:NTD786491 NJH786452:NJH786491 MZL786452:MZL786491 MPP786452:MPP786491 MFT786452:MFT786491 LVX786452:LVX786491 LMB786452:LMB786491 LCF786452:LCF786491 KSJ786452:KSJ786491 KIN786452:KIN786491 JYR786452:JYR786491 JOV786452:JOV786491 JEZ786452:JEZ786491 IVD786452:IVD786491 ILH786452:ILH786491 IBL786452:IBL786491 HRP786452:HRP786491 HHT786452:HHT786491 GXX786452:GXX786491 GOB786452:GOB786491 GEF786452:GEF786491 FUJ786452:FUJ786491 FKN786452:FKN786491 FAR786452:FAR786491 EQV786452:EQV786491 EGZ786452:EGZ786491 DXD786452:DXD786491 DNH786452:DNH786491 DDL786452:DDL786491 CTP786452:CTP786491 CJT786452:CJT786491 BZX786452:BZX786491 BQB786452:BQB786491 BGF786452:BGF786491 AWJ786452:AWJ786491 AMN786452:AMN786491 ACR786452:ACR786491 SV786452:SV786491 IZ786452:IZ786491 G786452:G786491 WVL720916:WVL720955 WLP720916:WLP720955 WBT720916:WBT720955 VRX720916:VRX720955 VIB720916:VIB720955 UYF720916:UYF720955 UOJ720916:UOJ720955 UEN720916:UEN720955 TUR720916:TUR720955 TKV720916:TKV720955 TAZ720916:TAZ720955 SRD720916:SRD720955 SHH720916:SHH720955 RXL720916:RXL720955 RNP720916:RNP720955 RDT720916:RDT720955 QTX720916:QTX720955 QKB720916:QKB720955 QAF720916:QAF720955 PQJ720916:PQJ720955 PGN720916:PGN720955 OWR720916:OWR720955 OMV720916:OMV720955 OCZ720916:OCZ720955 NTD720916:NTD720955 NJH720916:NJH720955 MZL720916:MZL720955 MPP720916:MPP720955 MFT720916:MFT720955 LVX720916:LVX720955 LMB720916:LMB720955 LCF720916:LCF720955 KSJ720916:KSJ720955 KIN720916:KIN720955 JYR720916:JYR720955 JOV720916:JOV720955 JEZ720916:JEZ720955 IVD720916:IVD720955 ILH720916:ILH720955 IBL720916:IBL720955 HRP720916:HRP720955 HHT720916:HHT720955 GXX720916:GXX720955 GOB720916:GOB720955 GEF720916:GEF720955 FUJ720916:FUJ720955 FKN720916:FKN720955 FAR720916:FAR720955 EQV720916:EQV720955 EGZ720916:EGZ720955 DXD720916:DXD720955 DNH720916:DNH720955 DDL720916:DDL720955 CTP720916:CTP720955 CJT720916:CJT720955 BZX720916:BZX720955 BQB720916:BQB720955 BGF720916:BGF720955 AWJ720916:AWJ720955 AMN720916:AMN720955 ACR720916:ACR720955 SV720916:SV720955 IZ720916:IZ720955 G720916:G720955 WVL655380:WVL655419 WLP655380:WLP655419 WBT655380:WBT655419 VRX655380:VRX655419 VIB655380:VIB655419 UYF655380:UYF655419 UOJ655380:UOJ655419 UEN655380:UEN655419 TUR655380:TUR655419 TKV655380:TKV655419 TAZ655380:TAZ655419 SRD655380:SRD655419 SHH655380:SHH655419 RXL655380:RXL655419 RNP655380:RNP655419 RDT655380:RDT655419 QTX655380:QTX655419 QKB655380:QKB655419 QAF655380:QAF655419 PQJ655380:PQJ655419 PGN655380:PGN655419 OWR655380:OWR655419 OMV655380:OMV655419 OCZ655380:OCZ655419 NTD655380:NTD655419 NJH655380:NJH655419 MZL655380:MZL655419 MPP655380:MPP655419 MFT655380:MFT655419 LVX655380:LVX655419 LMB655380:LMB655419 LCF655380:LCF655419 KSJ655380:KSJ655419 KIN655380:KIN655419 JYR655380:JYR655419 JOV655380:JOV655419 JEZ655380:JEZ655419 IVD655380:IVD655419 ILH655380:ILH655419 IBL655380:IBL655419 HRP655380:HRP655419 HHT655380:HHT655419 GXX655380:GXX655419 GOB655380:GOB655419 GEF655380:GEF655419 FUJ655380:FUJ655419 FKN655380:FKN655419 FAR655380:FAR655419 EQV655380:EQV655419 EGZ655380:EGZ655419 DXD655380:DXD655419 DNH655380:DNH655419 DDL655380:DDL655419 CTP655380:CTP655419 CJT655380:CJT655419 BZX655380:BZX655419 BQB655380:BQB655419 BGF655380:BGF655419 AWJ655380:AWJ655419 AMN655380:AMN655419 ACR655380:ACR655419 SV655380:SV655419 IZ655380:IZ655419 G655380:G655419 WVL589844:WVL589883 WLP589844:WLP589883 WBT589844:WBT589883 VRX589844:VRX589883 VIB589844:VIB589883 UYF589844:UYF589883 UOJ589844:UOJ589883 UEN589844:UEN589883 TUR589844:TUR589883 TKV589844:TKV589883 TAZ589844:TAZ589883 SRD589844:SRD589883 SHH589844:SHH589883 RXL589844:RXL589883 RNP589844:RNP589883 RDT589844:RDT589883 QTX589844:QTX589883 QKB589844:QKB589883 QAF589844:QAF589883 PQJ589844:PQJ589883 PGN589844:PGN589883 OWR589844:OWR589883 OMV589844:OMV589883 OCZ589844:OCZ589883 NTD589844:NTD589883 NJH589844:NJH589883 MZL589844:MZL589883 MPP589844:MPP589883 MFT589844:MFT589883 LVX589844:LVX589883 LMB589844:LMB589883 LCF589844:LCF589883 KSJ589844:KSJ589883 KIN589844:KIN589883 JYR589844:JYR589883 JOV589844:JOV589883 JEZ589844:JEZ589883 IVD589844:IVD589883 ILH589844:ILH589883 IBL589844:IBL589883 HRP589844:HRP589883 HHT589844:HHT589883 GXX589844:GXX589883 GOB589844:GOB589883 GEF589844:GEF589883 FUJ589844:FUJ589883 FKN589844:FKN589883 FAR589844:FAR589883 EQV589844:EQV589883 EGZ589844:EGZ589883 DXD589844:DXD589883 DNH589844:DNH589883 DDL589844:DDL589883 CTP589844:CTP589883 CJT589844:CJT589883 BZX589844:BZX589883 BQB589844:BQB589883 BGF589844:BGF589883 AWJ589844:AWJ589883 AMN589844:AMN589883 ACR589844:ACR589883 SV589844:SV589883 IZ589844:IZ589883 G589844:G589883 WVL524308:WVL524347 WLP524308:WLP524347 WBT524308:WBT524347 VRX524308:VRX524347 VIB524308:VIB524347 UYF524308:UYF524347 UOJ524308:UOJ524347 UEN524308:UEN524347 TUR524308:TUR524347 TKV524308:TKV524347 TAZ524308:TAZ524347 SRD524308:SRD524347 SHH524308:SHH524347 RXL524308:RXL524347 RNP524308:RNP524347 RDT524308:RDT524347 QTX524308:QTX524347 QKB524308:QKB524347 QAF524308:QAF524347 PQJ524308:PQJ524347 PGN524308:PGN524347 OWR524308:OWR524347 OMV524308:OMV524347 OCZ524308:OCZ524347 NTD524308:NTD524347 NJH524308:NJH524347 MZL524308:MZL524347 MPP524308:MPP524347 MFT524308:MFT524347 LVX524308:LVX524347 LMB524308:LMB524347 LCF524308:LCF524347 KSJ524308:KSJ524347 KIN524308:KIN524347 JYR524308:JYR524347 JOV524308:JOV524347 JEZ524308:JEZ524347 IVD524308:IVD524347 ILH524308:ILH524347 IBL524308:IBL524347 HRP524308:HRP524347 HHT524308:HHT524347 GXX524308:GXX524347 GOB524308:GOB524347 GEF524308:GEF524347 FUJ524308:FUJ524347 FKN524308:FKN524347 FAR524308:FAR524347 EQV524308:EQV524347 EGZ524308:EGZ524347 DXD524308:DXD524347 DNH524308:DNH524347 DDL524308:DDL524347 CTP524308:CTP524347 CJT524308:CJT524347 BZX524308:BZX524347 BQB524308:BQB524347 BGF524308:BGF524347 AWJ524308:AWJ524347 AMN524308:AMN524347 ACR524308:ACR524347 SV524308:SV524347 IZ524308:IZ524347 G524308:G524347 WVL458772:WVL458811 WLP458772:WLP458811 WBT458772:WBT458811 VRX458772:VRX458811 VIB458772:VIB458811 UYF458772:UYF458811 UOJ458772:UOJ458811 UEN458772:UEN458811 TUR458772:TUR458811 TKV458772:TKV458811 TAZ458772:TAZ458811 SRD458772:SRD458811 SHH458772:SHH458811 RXL458772:RXL458811 RNP458772:RNP458811 RDT458772:RDT458811 QTX458772:QTX458811 QKB458772:QKB458811 QAF458772:QAF458811 PQJ458772:PQJ458811 PGN458772:PGN458811 OWR458772:OWR458811 OMV458772:OMV458811 OCZ458772:OCZ458811 NTD458772:NTD458811 NJH458772:NJH458811 MZL458772:MZL458811 MPP458772:MPP458811 MFT458772:MFT458811 LVX458772:LVX458811 LMB458772:LMB458811 LCF458772:LCF458811 KSJ458772:KSJ458811 KIN458772:KIN458811 JYR458772:JYR458811 JOV458772:JOV458811 JEZ458772:JEZ458811 IVD458772:IVD458811 ILH458772:ILH458811 IBL458772:IBL458811 HRP458772:HRP458811 HHT458772:HHT458811 GXX458772:GXX458811 GOB458772:GOB458811 GEF458772:GEF458811 FUJ458772:FUJ458811 FKN458772:FKN458811 FAR458772:FAR458811 EQV458772:EQV458811 EGZ458772:EGZ458811 DXD458772:DXD458811 DNH458772:DNH458811 DDL458772:DDL458811 CTP458772:CTP458811 CJT458772:CJT458811 BZX458772:BZX458811 BQB458772:BQB458811 BGF458772:BGF458811 AWJ458772:AWJ458811 AMN458772:AMN458811 ACR458772:ACR458811 SV458772:SV458811 IZ458772:IZ458811 G458772:G458811 WVL393236:WVL393275 WLP393236:WLP393275 WBT393236:WBT393275 VRX393236:VRX393275 VIB393236:VIB393275 UYF393236:UYF393275 UOJ393236:UOJ393275 UEN393236:UEN393275 TUR393236:TUR393275 TKV393236:TKV393275 TAZ393236:TAZ393275 SRD393236:SRD393275 SHH393236:SHH393275 RXL393236:RXL393275 RNP393236:RNP393275 RDT393236:RDT393275 QTX393236:QTX393275 QKB393236:QKB393275 QAF393236:QAF393275 PQJ393236:PQJ393275 PGN393236:PGN393275 OWR393236:OWR393275 OMV393236:OMV393275 OCZ393236:OCZ393275 NTD393236:NTD393275 NJH393236:NJH393275 MZL393236:MZL393275 MPP393236:MPP393275 MFT393236:MFT393275 LVX393236:LVX393275 LMB393236:LMB393275 LCF393236:LCF393275 KSJ393236:KSJ393275 KIN393236:KIN393275 JYR393236:JYR393275 JOV393236:JOV393275 JEZ393236:JEZ393275 IVD393236:IVD393275 ILH393236:ILH393275 IBL393236:IBL393275 HRP393236:HRP393275 HHT393236:HHT393275 GXX393236:GXX393275 GOB393236:GOB393275 GEF393236:GEF393275 FUJ393236:FUJ393275 FKN393236:FKN393275 FAR393236:FAR393275 EQV393236:EQV393275 EGZ393236:EGZ393275 DXD393236:DXD393275 DNH393236:DNH393275 DDL393236:DDL393275 CTP393236:CTP393275 CJT393236:CJT393275 BZX393236:BZX393275 BQB393236:BQB393275 BGF393236:BGF393275 AWJ393236:AWJ393275 AMN393236:AMN393275 ACR393236:ACR393275 SV393236:SV393275 IZ393236:IZ393275 G393236:G393275 WVL327700:WVL327739 WLP327700:WLP327739 WBT327700:WBT327739 VRX327700:VRX327739 VIB327700:VIB327739 UYF327700:UYF327739 UOJ327700:UOJ327739 UEN327700:UEN327739 TUR327700:TUR327739 TKV327700:TKV327739 TAZ327700:TAZ327739 SRD327700:SRD327739 SHH327700:SHH327739 RXL327700:RXL327739 RNP327700:RNP327739 RDT327700:RDT327739 QTX327700:QTX327739 QKB327700:QKB327739 QAF327700:QAF327739 PQJ327700:PQJ327739 PGN327700:PGN327739 OWR327700:OWR327739 OMV327700:OMV327739 OCZ327700:OCZ327739 NTD327700:NTD327739 NJH327700:NJH327739 MZL327700:MZL327739 MPP327700:MPP327739 MFT327700:MFT327739 LVX327700:LVX327739 LMB327700:LMB327739 LCF327700:LCF327739 KSJ327700:KSJ327739 KIN327700:KIN327739 JYR327700:JYR327739 JOV327700:JOV327739 JEZ327700:JEZ327739 IVD327700:IVD327739 ILH327700:ILH327739 IBL327700:IBL327739 HRP327700:HRP327739 HHT327700:HHT327739 GXX327700:GXX327739 GOB327700:GOB327739 GEF327700:GEF327739 FUJ327700:FUJ327739 FKN327700:FKN327739 FAR327700:FAR327739 EQV327700:EQV327739 EGZ327700:EGZ327739 DXD327700:DXD327739 DNH327700:DNH327739 DDL327700:DDL327739 CTP327700:CTP327739 CJT327700:CJT327739 BZX327700:BZX327739 BQB327700:BQB327739 BGF327700:BGF327739 AWJ327700:AWJ327739 AMN327700:AMN327739 ACR327700:ACR327739 SV327700:SV327739 IZ327700:IZ327739 G327700:G327739 WVL262164:WVL262203 WLP262164:WLP262203 WBT262164:WBT262203 VRX262164:VRX262203 VIB262164:VIB262203 UYF262164:UYF262203 UOJ262164:UOJ262203 UEN262164:UEN262203 TUR262164:TUR262203 TKV262164:TKV262203 TAZ262164:TAZ262203 SRD262164:SRD262203 SHH262164:SHH262203 RXL262164:RXL262203 RNP262164:RNP262203 RDT262164:RDT262203 QTX262164:QTX262203 QKB262164:QKB262203 QAF262164:QAF262203 PQJ262164:PQJ262203 PGN262164:PGN262203 OWR262164:OWR262203 OMV262164:OMV262203 OCZ262164:OCZ262203 NTD262164:NTD262203 NJH262164:NJH262203 MZL262164:MZL262203 MPP262164:MPP262203 MFT262164:MFT262203 LVX262164:LVX262203 LMB262164:LMB262203 LCF262164:LCF262203 KSJ262164:KSJ262203 KIN262164:KIN262203 JYR262164:JYR262203 JOV262164:JOV262203 JEZ262164:JEZ262203 IVD262164:IVD262203 ILH262164:ILH262203 IBL262164:IBL262203 HRP262164:HRP262203 HHT262164:HHT262203 GXX262164:GXX262203 GOB262164:GOB262203 GEF262164:GEF262203 FUJ262164:FUJ262203 FKN262164:FKN262203 FAR262164:FAR262203 EQV262164:EQV262203 EGZ262164:EGZ262203 DXD262164:DXD262203 DNH262164:DNH262203 DDL262164:DDL262203 CTP262164:CTP262203 CJT262164:CJT262203 BZX262164:BZX262203 BQB262164:BQB262203 BGF262164:BGF262203 AWJ262164:AWJ262203 AMN262164:AMN262203 ACR262164:ACR262203 SV262164:SV262203 IZ262164:IZ262203 G262164:G262203 WVL196628:WVL196667 WLP196628:WLP196667 WBT196628:WBT196667 VRX196628:VRX196667 VIB196628:VIB196667 UYF196628:UYF196667 UOJ196628:UOJ196667 UEN196628:UEN196667 TUR196628:TUR196667 TKV196628:TKV196667 TAZ196628:TAZ196667 SRD196628:SRD196667 SHH196628:SHH196667 RXL196628:RXL196667 RNP196628:RNP196667 RDT196628:RDT196667 QTX196628:QTX196667 QKB196628:QKB196667 QAF196628:QAF196667 PQJ196628:PQJ196667 PGN196628:PGN196667 OWR196628:OWR196667 OMV196628:OMV196667 OCZ196628:OCZ196667 NTD196628:NTD196667 NJH196628:NJH196667 MZL196628:MZL196667 MPP196628:MPP196667 MFT196628:MFT196667 LVX196628:LVX196667 LMB196628:LMB196667 LCF196628:LCF196667 KSJ196628:KSJ196667 KIN196628:KIN196667 JYR196628:JYR196667 JOV196628:JOV196667 JEZ196628:JEZ196667 IVD196628:IVD196667 ILH196628:ILH196667 IBL196628:IBL196667 HRP196628:HRP196667 HHT196628:HHT196667 GXX196628:GXX196667 GOB196628:GOB196667 GEF196628:GEF196667 FUJ196628:FUJ196667 FKN196628:FKN196667 FAR196628:FAR196667 EQV196628:EQV196667 EGZ196628:EGZ196667 DXD196628:DXD196667 DNH196628:DNH196667 DDL196628:DDL196667 CTP196628:CTP196667 CJT196628:CJT196667 BZX196628:BZX196667 BQB196628:BQB196667 BGF196628:BGF196667 AWJ196628:AWJ196667 AMN196628:AMN196667 ACR196628:ACR196667 SV196628:SV196667 IZ196628:IZ196667 G196628:G196667 WVL131092:WVL131131 WLP131092:WLP131131 WBT131092:WBT131131 VRX131092:VRX131131 VIB131092:VIB131131 UYF131092:UYF131131 UOJ131092:UOJ131131 UEN131092:UEN131131 TUR131092:TUR131131 TKV131092:TKV131131 TAZ131092:TAZ131131 SRD131092:SRD131131 SHH131092:SHH131131 RXL131092:RXL131131 RNP131092:RNP131131 RDT131092:RDT131131 QTX131092:QTX131131 QKB131092:QKB131131 QAF131092:QAF131131 PQJ131092:PQJ131131 PGN131092:PGN131131 OWR131092:OWR131131 OMV131092:OMV131131 OCZ131092:OCZ131131 NTD131092:NTD131131 NJH131092:NJH131131 MZL131092:MZL131131 MPP131092:MPP131131 MFT131092:MFT131131 LVX131092:LVX131131 LMB131092:LMB131131 LCF131092:LCF131131 KSJ131092:KSJ131131 KIN131092:KIN131131 JYR131092:JYR131131 JOV131092:JOV131131 JEZ131092:JEZ131131 IVD131092:IVD131131 ILH131092:ILH131131 IBL131092:IBL131131 HRP131092:HRP131131 HHT131092:HHT131131 GXX131092:GXX131131 GOB131092:GOB131131 GEF131092:GEF131131 FUJ131092:FUJ131131 FKN131092:FKN131131 FAR131092:FAR131131 EQV131092:EQV131131 EGZ131092:EGZ131131 DXD131092:DXD131131 DNH131092:DNH131131 DDL131092:DDL131131 CTP131092:CTP131131 CJT131092:CJT131131 BZX131092:BZX131131 BQB131092:BQB131131 BGF131092:BGF131131 AWJ131092:AWJ131131 AMN131092:AMN131131 ACR131092:ACR131131 SV131092:SV131131 IZ131092:IZ131131 G131092:G131131 WVL65556:WVL65595 WLP65556:WLP65595 WBT65556:WBT65595 VRX65556:VRX65595 VIB65556:VIB65595 UYF65556:UYF65595 UOJ65556:UOJ65595 UEN65556:UEN65595 TUR65556:TUR65595 TKV65556:TKV65595 TAZ65556:TAZ65595 SRD65556:SRD65595 SHH65556:SHH65595 RXL65556:RXL65595 RNP65556:RNP65595 RDT65556:RDT65595 QTX65556:QTX65595 QKB65556:QKB65595 QAF65556:QAF65595 PQJ65556:PQJ65595 PGN65556:PGN65595 OWR65556:OWR65595 OMV65556:OMV65595 OCZ65556:OCZ65595 NTD65556:NTD65595 NJH65556:NJH65595 MZL65556:MZL65595 MPP65556:MPP65595 MFT65556:MFT65595 LVX65556:LVX65595 LMB65556:LMB65595 LCF65556:LCF65595 KSJ65556:KSJ65595 KIN65556:KIN65595 JYR65556:JYR65595 JOV65556:JOV65595 JEZ65556:JEZ65595 IVD65556:IVD65595 ILH65556:ILH65595 IBL65556:IBL65595 HRP65556:HRP65595 HHT65556:HHT65595 GXX65556:GXX65595 GOB65556:GOB65595 GEF65556:GEF65595 FUJ65556:FUJ65595 FKN65556:FKN65595 FAR65556:FAR65595 EQV65556:EQV65595 EGZ65556:EGZ65595 DXD65556:DXD65595 DNH65556:DNH65595 DDL65556:DDL65595 CTP65556:CTP65595 CJT65556:CJT65595 BZX65556:BZX65595 BQB65556:BQB65595 BGF65556:BGF65595 AWJ65556:AWJ65595 AMN65556:AMN65595 ACR65556:ACR65595 SV65556:SV65595 IZ65556:IZ65595 G65556:G65595 WVL20:WVL59 WLP20:WLP59 WBT20:WBT59 VRX20:VRX59 VIB20:VIB59 UYF20:UYF59 UOJ20:UOJ59 UEN20:UEN59 TUR20:TUR59 TKV20:TKV59 TAZ20:TAZ59 SRD20:SRD59 SHH20:SHH59 RXL20:RXL59 RNP20:RNP59 RDT20:RDT59 QTX20:QTX59 QKB20:QKB59 QAF20:QAF59 PQJ20:PQJ59 PGN20:PGN59 OWR20:OWR59 OMV20:OMV59 OCZ20:OCZ59 NTD20:NTD59 NJH20:NJH59 MZL20:MZL59 MPP20:MPP59 MFT20:MFT59 LVX20:LVX59 LMB20:LMB59 LCF20:LCF59 KSJ20:KSJ59 KIN20:KIN59 JYR20:JYR59 JOV20:JOV59 JEZ20:JEZ59 IVD20:IVD59 ILH20:ILH59 IBL20:IBL59 HRP20:HRP59 HHT20:HHT59 GXX20:GXX59 GOB20:GOB59 GEF20:GEF59 FUJ20:FUJ59 FKN20:FKN59 FAR20:FAR59 EQV20:EQV59 EGZ20:EGZ59 DXD20:DXD59 DNH20:DNH59 DDL20:DDL59 CTP20:CTP59 CJT20:CJT59 BZX20:BZX59 BQB20:BQB59 BGF20:BGF59 AWJ20:AWJ59 AMN20:AMN59 ACR20:ACR59 SV20:SV59 IZ20:IZ59 Q22:Q24 WVQ983060:WVQ983099 WLU983060:WLU983099 WBY983060:WBY983099 VSC983060:VSC983099 VIG983060:VIG983099 UYK983060:UYK983099 UOO983060:UOO983099 UES983060:UES983099 TUW983060:TUW983099 TLA983060:TLA983099 TBE983060:TBE983099 SRI983060:SRI983099 SHM983060:SHM983099 RXQ983060:RXQ983099 RNU983060:RNU983099 RDY983060:RDY983099 QUC983060:QUC983099 QKG983060:QKG983099 QAK983060:QAK983099 PQO983060:PQO983099 PGS983060:PGS983099 OWW983060:OWW983099 ONA983060:ONA983099 ODE983060:ODE983099 NTI983060:NTI983099 NJM983060:NJM983099 MZQ983060:MZQ983099 MPU983060:MPU983099 MFY983060:MFY983099 LWC983060:LWC983099 LMG983060:LMG983099 LCK983060:LCK983099 KSO983060:KSO983099 KIS983060:KIS983099 JYW983060:JYW983099 JPA983060:JPA983099 JFE983060:JFE983099 IVI983060:IVI983099 ILM983060:ILM983099 IBQ983060:IBQ983099 HRU983060:HRU983099 HHY983060:HHY983099 GYC983060:GYC983099 GOG983060:GOG983099 GEK983060:GEK983099 FUO983060:FUO983099 FKS983060:FKS983099 FAW983060:FAW983099 ERA983060:ERA983099 EHE983060:EHE983099 DXI983060:DXI983099 DNM983060:DNM983099 DDQ983060:DDQ983099 CTU983060:CTU983099 CJY983060:CJY983099 CAC983060:CAC983099 BQG983060:BQG983099 BGK983060:BGK983099 AWO983060:AWO983099 AMS983060:AMS983099 ACW983060:ACW983099 TA983060:TA983099 JE983060:JE983099 L983060:L983099 WVQ917524:WVQ917563 WLU917524:WLU917563 WBY917524:WBY917563 VSC917524:VSC917563 VIG917524:VIG917563 UYK917524:UYK917563 UOO917524:UOO917563 UES917524:UES917563 TUW917524:TUW917563 TLA917524:TLA917563 TBE917524:TBE917563 SRI917524:SRI917563 SHM917524:SHM917563 RXQ917524:RXQ917563 RNU917524:RNU917563 RDY917524:RDY917563 QUC917524:QUC917563 QKG917524:QKG917563 QAK917524:QAK917563 PQO917524:PQO917563 PGS917524:PGS917563 OWW917524:OWW917563 ONA917524:ONA917563 ODE917524:ODE917563 NTI917524:NTI917563 NJM917524:NJM917563 MZQ917524:MZQ917563 MPU917524:MPU917563 MFY917524:MFY917563 LWC917524:LWC917563 LMG917524:LMG917563 LCK917524:LCK917563 KSO917524:KSO917563 KIS917524:KIS917563 JYW917524:JYW917563 JPA917524:JPA917563 JFE917524:JFE917563 IVI917524:IVI917563 ILM917524:ILM917563 IBQ917524:IBQ917563 HRU917524:HRU917563 HHY917524:HHY917563 GYC917524:GYC917563 GOG917524:GOG917563 GEK917524:GEK917563 FUO917524:FUO917563 FKS917524:FKS917563 FAW917524:FAW917563 ERA917524:ERA917563 EHE917524:EHE917563 DXI917524:DXI917563 DNM917524:DNM917563 DDQ917524:DDQ917563 CTU917524:CTU917563 CJY917524:CJY917563 CAC917524:CAC917563 BQG917524:BQG917563 BGK917524:BGK917563 AWO917524:AWO917563 AMS917524:AMS917563 ACW917524:ACW917563 TA917524:TA917563 JE917524:JE917563 L917524:L917563 WVQ851988:WVQ852027 WLU851988:WLU852027 WBY851988:WBY852027 VSC851988:VSC852027 VIG851988:VIG852027 UYK851988:UYK852027 UOO851988:UOO852027 UES851988:UES852027 TUW851988:TUW852027 TLA851988:TLA852027 TBE851988:TBE852027 SRI851988:SRI852027 SHM851988:SHM852027 RXQ851988:RXQ852027 RNU851988:RNU852027 RDY851988:RDY852027 QUC851988:QUC852027 QKG851988:QKG852027 QAK851988:QAK852027 PQO851988:PQO852027 PGS851988:PGS852027 OWW851988:OWW852027 ONA851988:ONA852027 ODE851988:ODE852027 NTI851988:NTI852027 NJM851988:NJM852027 MZQ851988:MZQ852027 MPU851988:MPU852027 MFY851988:MFY852027 LWC851988:LWC852027 LMG851988:LMG852027 LCK851988:LCK852027 KSO851988:KSO852027 KIS851988:KIS852027 JYW851988:JYW852027 JPA851988:JPA852027 JFE851988:JFE852027 IVI851988:IVI852027 ILM851988:ILM852027 IBQ851988:IBQ852027 HRU851988:HRU852027 HHY851988:HHY852027 GYC851988:GYC852027 GOG851988:GOG852027 GEK851988:GEK852027 FUO851988:FUO852027 FKS851988:FKS852027 FAW851988:FAW852027 ERA851988:ERA852027 EHE851988:EHE852027 DXI851988:DXI852027 DNM851988:DNM852027 DDQ851988:DDQ852027 CTU851988:CTU852027 CJY851988:CJY852027 CAC851988:CAC852027 BQG851988:BQG852027 BGK851988:BGK852027 AWO851988:AWO852027 AMS851988:AMS852027 ACW851988:ACW852027 TA851988:TA852027 JE851988:JE852027 L851988:L852027 WVQ786452:WVQ786491 WLU786452:WLU786491 WBY786452:WBY786491 VSC786452:VSC786491 VIG786452:VIG786491 UYK786452:UYK786491 UOO786452:UOO786491 UES786452:UES786491 TUW786452:TUW786491 TLA786452:TLA786491 TBE786452:TBE786491 SRI786452:SRI786491 SHM786452:SHM786491 RXQ786452:RXQ786491 RNU786452:RNU786491 RDY786452:RDY786491 QUC786452:QUC786491 QKG786452:QKG786491 QAK786452:QAK786491 PQO786452:PQO786491 PGS786452:PGS786491 OWW786452:OWW786491 ONA786452:ONA786491 ODE786452:ODE786491 NTI786452:NTI786491 NJM786452:NJM786491 MZQ786452:MZQ786491 MPU786452:MPU786491 MFY786452:MFY786491 LWC786452:LWC786491 LMG786452:LMG786491 LCK786452:LCK786491 KSO786452:KSO786491 KIS786452:KIS786491 JYW786452:JYW786491 JPA786452:JPA786491 JFE786452:JFE786491 IVI786452:IVI786491 ILM786452:ILM786491 IBQ786452:IBQ786491 HRU786452:HRU786491 HHY786452:HHY786491 GYC786452:GYC786491 GOG786452:GOG786491 GEK786452:GEK786491 FUO786452:FUO786491 FKS786452:FKS786491 FAW786452:FAW786491 ERA786452:ERA786491 EHE786452:EHE786491 DXI786452:DXI786491 DNM786452:DNM786491 DDQ786452:DDQ786491 CTU786452:CTU786491 CJY786452:CJY786491 CAC786452:CAC786491 BQG786452:BQG786491 BGK786452:BGK786491 AWO786452:AWO786491 AMS786452:AMS786491 ACW786452:ACW786491 TA786452:TA786491 JE786452:JE786491 L786452:L786491 WVQ720916:WVQ720955 WLU720916:WLU720955 WBY720916:WBY720955 VSC720916:VSC720955 VIG720916:VIG720955 UYK720916:UYK720955 UOO720916:UOO720955 UES720916:UES720955 TUW720916:TUW720955 TLA720916:TLA720955 TBE720916:TBE720955 SRI720916:SRI720955 SHM720916:SHM720955 RXQ720916:RXQ720955 RNU720916:RNU720955 RDY720916:RDY720955 QUC720916:QUC720955 QKG720916:QKG720955 QAK720916:QAK720955 PQO720916:PQO720955 PGS720916:PGS720955 OWW720916:OWW720955 ONA720916:ONA720955 ODE720916:ODE720955 NTI720916:NTI720955 NJM720916:NJM720955 MZQ720916:MZQ720955 MPU720916:MPU720955 MFY720916:MFY720955 LWC720916:LWC720955 LMG720916:LMG720955 LCK720916:LCK720955 KSO720916:KSO720955 KIS720916:KIS720955 JYW720916:JYW720955 JPA720916:JPA720955 JFE720916:JFE720955 IVI720916:IVI720955 ILM720916:ILM720955 IBQ720916:IBQ720955 HRU720916:HRU720955 HHY720916:HHY720955 GYC720916:GYC720955 GOG720916:GOG720955 GEK720916:GEK720955 FUO720916:FUO720955 FKS720916:FKS720955 FAW720916:FAW720955 ERA720916:ERA720955 EHE720916:EHE720955 DXI720916:DXI720955 DNM720916:DNM720955 DDQ720916:DDQ720955 CTU720916:CTU720955 CJY720916:CJY720955 CAC720916:CAC720955 BQG720916:BQG720955 BGK720916:BGK720955 AWO720916:AWO720955 AMS720916:AMS720955 ACW720916:ACW720955 TA720916:TA720955 JE720916:JE720955 L720916:L720955 WVQ655380:WVQ655419 WLU655380:WLU655419 WBY655380:WBY655419 VSC655380:VSC655419 VIG655380:VIG655419 UYK655380:UYK655419 UOO655380:UOO655419 UES655380:UES655419 TUW655380:TUW655419 TLA655380:TLA655419 TBE655380:TBE655419 SRI655380:SRI655419 SHM655380:SHM655419 RXQ655380:RXQ655419 RNU655380:RNU655419 RDY655380:RDY655419 QUC655380:QUC655419 QKG655380:QKG655419 QAK655380:QAK655419 PQO655380:PQO655419 PGS655380:PGS655419 OWW655380:OWW655419 ONA655380:ONA655419 ODE655380:ODE655419 NTI655380:NTI655419 NJM655380:NJM655419 MZQ655380:MZQ655419 MPU655380:MPU655419 MFY655380:MFY655419 LWC655380:LWC655419 LMG655380:LMG655419 LCK655380:LCK655419 KSO655380:KSO655419 KIS655380:KIS655419 JYW655380:JYW655419 JPA655380:JPA655419 JFE655380:JFE655419 IVI655380:IVI655419 ILM655380:ILM655419 IBQ655380:IBQ655419 HRU655380:HRU655419 HHY655380:HHY655419 GYC655380:GYC655419 GOG655380:GOG655419 GEK655380:GEK655419 FUO655380:FUO655419 FKS655380:FKS655419 FAW655380:FAW655419 ERA655380:ERA655419 EHE655380:EHE655419 DXI655380:DXI655419 DNM655380:DNM655419 DDQ655380:DDQ655419 CTU655380:CTU655419 CJY655380:CJY655419 CAC655380:CAC655419 BQG655380:BQG655419 BGK655380:BGK655419 AWO655380:AWO655419 AMS655380:AMS655419 ACW655380:ACW655419 TA655380:TA655419 JE655380:JE655419 L655380:L655419 WVQ589844:WVQ589883 WLU589844:WLU589883 WBY589844:WBY589883 VSC589844:VSC589883 VIG589844:VIG589883 UYK589844:UYK589883 UOO589844:UOO589883 UES589844:UES589883 TUW589844:TUW589883 TLA589844:TLA589883 TBE589844:TBE589883 SRI589844:SRI589883 SHM589844:SHM589883 RXQ589844:RXQ589883 RNU589844:RNU589883 RDY589844:RDY589883 QUC589844:QUC589883 QKG589844:QKG589883 QAK589844:QAK589883 PQO589844:PQO589883 PGS589844:PGS589883 OWW589844:OWW589883 ONA589844:ONA589883 ODE589844:ODE589883 NTI589844:NTI589883 NJM589844:NJM589883 MZQ589844:MZQ589883 MPU589844:MPU589883 MFY589844:MFY589883 LWC589844:LWC589883 LMG589844:LMG589883 LCK589844:LCK589883 KSO589844:KSO589883 KIS589844:KIS589883 JYW589844:JYW589883 JPA589844:JPA589883 JFE589844:JFE589883 IVI589844:IVI589883 ILM589844:ILM589883 IBQ589844:IBQ589883 HRU589844:HRU589883 HHY589844:HHY589883 GYC589844:GYC589883 GOG589844:GOG589883 GEK589844:GEK589883 FUO589844:FUO589883 FKS589844:FKS589883 FAW589844:FAW589883 ERA589844:ERA589883 EHE589844:EHE589883 DXI589844:DXI589883 DNM589844:DNM589883 DDQ589844:DDQ589883 CTU589844:CTU589883 CJY589844:CJY589883 CAC589844:CAC589883 BQG589844:BQG589883 BGK589844:BGK589883 AWO589844:AWO589883 AMS589844:AMS589883 ACW589844:ACW589883 TA589844:TA589883 JE589844:JE589883 L589844:L589883 WVQ524308:WVQ524347 WLU524308:WLU524347 WBY524308:WBY524347 VSC524308:VSC524347 VIG524308:VIG524347 UYK524308:UYK524347 UOO524308:UOO524347 UES524308:UES524347 TUW524308:TUW524347 TLA524308:TLA524347 TBE524308:TBE524347 SRI524308:SRI524347 SHM524308:SHM524347 RXQ524308:RXQ524347 RNU524308:RNU524347 RDY524308:RDY524347 QUC524308:QUC524347 QKG524308:QKG524347 QAK524308:QAK524347 PQO524308:PQO524347 PGS524308:PGS524347 OWW524308:OWW524347 ONA524308:ONA524347 ODE524308:ODE524347 NTI524308:NTI524347 NJM524308:NJM524347 MZQ524308:MZQ524347 MPU524308:MPU524347 MFY524308:MFY524347 LWC524308:LWC524347 LMG524308:LMG524347 LCK524308:LCK524347 KSO524308:KSO524347 KIS524308:KIS524347 JYW524308:JYW524347 JPA524308:JPA524347 JFE524308:JFE524347 IVI524308:IVI524347 ILM524308:ILM524347 IBQ524308:IBQ524347 HRU524308:HRU524347 HHY524308:HHY524347 GYC524308:GYC524347 GOG524308:GOG524347 GEK524308:GEK524347 FUO524308:FUO524347 FKS524308:FKS524347 FAW524308:FAW524347 ERA524308:ERA524347 EHE524308:EHE524347 DXI524308:DXI524347 DNM524308:DNM524347 DDQ524308:DDQ524347 CTU524308:CTU524347 CJY524308:CJY524347 CAC524308:CAC524347 BQG524308:BQG524347 BGK524308:BGK524347 AWO524308:AWO524347 AMS524308:AMS524347 ACW524308:ACW524347 TA524308:TA524347 JE524308:JE524347 L524308:L524347 WVQ458772:WVQ458811 WLU458772:WLU458811 WBY458772:WBY458811 VSC458772:VSC458811 VIG458772:VIG458811 UYK458772:UYK458811 UOO458772:UOO458811 UES458772:UES458811 TUW458772:TUW458811 TLA458772:TLA458811 TBE458772:TBE458811 SRI458772:SRI458811 SHM458772:SHM458811 RXQ458772:RXQ458811 RNU458772:RNU458811 RDY458772:RDY458811 QUC458772:QUC458811 QKG458772:QKG458811 QAK458772:QAK458811 PQO458772:PQO458811 PGS458772:PGS458811 OWW458772:OWW458811 ONA458772:ONA458811 ODE458772:ODE458811 NTI458772:NTI458811 NJM458772:NJM458811 MZQ458772:MZQ458811 MPU458772:MPU458811 MFY458772:MFY458811 LWC458772:LWC458811 LMG458772:LMG458811 LCK458772:LCK458811 KSO458772:KSO458811 KIS458772:KIS458811 JYW458772:JYW458811 JPA458772:JPA458811 JFE458772:JFE458811 IVI458772:IVI458811 ILM458772:ILM458811 IBQ458772:IBQ458811 HRU458772:HRU458811 HHY458772:HHY458811 GYC458772:GYC458811 GOG458772:GOG458811 GEK458772:GEK458811 FUO458772:FUO458811 FKS458772:FKS458811 FAW458772:FAW458811 ERA458772:ERA458811 EHE458772:EHE458811 DXI458772:DXI458811 DNM458772:DNM458811 DDQ458772:DDQ458811 CTU458772:CTU458811 CJY458772:CJY458811 CAC458772:CAC458811 BQG458772:BQG458811 BGK458772:BGK458811 AWO458772:AWO458811 AMS458772:AMS458811 ACW458772:ACW458811 TA458772:TA458811 JE458772:JE458811 L458772:L458811 WVQ393236:WVQ393275 WLU393236:WLU393275 WBY393236:WBY393275 VSC393236:VSC393275 VIG393236:VIG393275 UYK393236:UYK393275 UOO393236:UOO393275 UES393236:UES393275 TUW393236:TUW393275 TLA393236:TLA393275 TBE393236:TBE393275 SRI393236:SRI393275 SHM393236:SHM393275 RXQ393236:RXQ393275 RNU393236:RNU393275 RDY393236:RDY393275 QUC393236:QUC393275 QKG393236:QKG393275 QAK393236:QAK393275 PQO393236:PQO393275 PGS393236:PGS393275 OWW393236:OWW393275 ONA393236:ONA393275 ODE393236:ODE393275 NTI393236:NTI393275 NJM393236:NJM393275 MZQ393236:MZQ393275 MPU393236:MPU393275 MFY393236:MFY393275 LWC393236:LWC393275 LMG393236:LMG393275 LCK393236:LCK393275 KSO393236:KSO393275 KIS393236:KIS393275 JYW393236:JYW393275 JPA393236:JPA393275 JFE393236:JFE393275 IVI393236:IVI393275 ILM393236:ILM393275 IBQ393236:IBQ393275 HRU393236:HRU393275 HHY393236:HHY393275 GYC393236:GYC393275 GOG393236:GOG393275 GEK393236:GEK393275 FUO393236:FUO393275 FKS393236:FKS393275 FAW393236:FAW393275 ERA393236:ERA393275 EHE393236:EHE393275 DXI393236:DXI393275 DNM393236:DNM393275 DDQ393236:DDQ393275 CTU393236:CTU393275 CJY393236:CJY393275 CAC393236:CAC393275 BQG393236:BQG393275 BGK393236:BGK393275 AWO393236:AWO393275 AMS393236:AMS393275 ACW393236:ACW393275 TA393236:TA393275 JE393236:JE393275 L393236:L393275 WVQ327700:WVQ327739 WLU327700:WLU327739 WBY327700:WBY327739 VSC327700:VSC327739 VIG327700:VIG327739 UYK327700:UYK327739 UOO327700:UOO327739 UES327700:UES327739 TUW327700:TUW327739 TLA327700:TLA327739 TBE327700:TBE327739 SRI327700:SRI327739 SHM327700:SHM327739 RXQ327700:RXQ327739 RNU327700:RNU327739 RDY327700:RDY327739 QUC327700:QUC327739 QKG327700:QKG327739 QAK327700:QAK327739 PQO327700:PQO327739 PGS327700:PGS327739 OWW327700:OWW327739 ONA327700:ONA327739 ODE327700:ODE327739 NTI327700:NTI327739 NJM327700:NJM327739 MZQ327700:MZQ327739 MPU327700:MPU327739 MFY327700:MFY327739 LWC327700:LWC327739 LMG327700:LMG327739 LCK327700:LCK327739 KSO327700:KSO327739 KIS327700:KIS327739 JYW327700:JYW327739 JPA327700:JPA327739 JFE327700:JFE327739 IVI327700:IVI327739 ILM327700:ILM327739 IBQ327700:IBQ327739 HRU327700:HRU327739 HHY327700:HHY327739 GYC327700:GYC327739 GOG327700:GOG327739 GEK327700:GEK327739 FUO327700:FUO327739 FKS327700:FKS327739 FAW327700:FAW327739 ERA327700:ERA327739 EHE327700:EHE327739 DXI327700:DXI327739 DNM327700:DNM327739 DDQ327700:DDQ327739 CTU327700:CTU327739 CJY327700:CJY327739 CAC327700:CAC327739 BQG327700:BQG327739 BGK327700:BGK327739 AWO327700:AWO327739 AMS327700:AMS327739 ACW327700:ACW327739 TA327700:TA327739 JE327700:JE327739 L327700:L327739 WVQ262164:WVQ262203 WLU262164:WLU262203 WBY262164:WBY262203 VSC262164:VSC262203 VIG262164:VIG262203 UYK262164:UYK262203 UOO262164:UOO262203 UES262164:UES262203 TUW262164:TUW262203 TLA262164:TLA262203 TBE262164:TBE262203 SRI262164:SRI262203 SHM262164:SHM262203 RXQ262164:RXQ262203 RNU262164:RNU262203 RDY262164:RDY262203 QUC262164:QUC262203 QKG262164:QKG262203 QAK262164:QAK262203 PQO262164:PQO262203 PGS262164:PGS262203 OWW262164:OWW262203 ONA262164:ONA262203 ODE262164:ODE262203 NTI262164:NTI262203 NJM262164:NJM262203 MZQ262164:MZQ262203 MPU262164:MPU262203 MFY262164:MFY262203 LWC262164:LWC262203 LMG262164:LMG262203 LCK262164:LCK262203 KSO262164:KSO262203 KIS262164:KIS262203 JYW262164:JYW262203 JPA262164:JPA262203 JFE262164:JFE262203 IVI262164:IVI262203 ILM262164:ILM262203 IBQ262164:IBQ262203 HRU262164:HRU262203 HHY262164:HHY262203 GYC262164:GYC262203 GOG262164:GOG262203 GEK262164:GEK262203 FUO262164:FUO262203 FKS262164:FKS262203 FAW262164:FAW262203 ERA262164:ERA262203 EHE262164:EHE262203 DXI262164:DXI262203 DNM262164:DNM262203 DDQ262164:DDQ262203 CTU262164:CTU262203 CJY262164:CJY262203 CAC262164:CAC262203 BQG262164:BQG262203 BGK262164:BGK262203 AWO262164:AWO262203 AMS262164:AMS262203 ACW262164:ACW262203 TA262164:TA262203 JE262164:JE262203 L262164:L262203 WVQ196628:WVQ196667 WLU196628:WLU196667 WBY196628:WBY196667 VSC196628:VSC196667 VIG196628:VIG196667 UYK196628:UYK196667 UOO196628:UOO196667 UES196628:UES196667 TUW196628:TUW196667 TLA196628:TLA196667 TBE196628:TBE196667 SRI196628:SRI196667 SHM196628:SHM196667 RXQ196628:RXQ196667 RNU196628:RNU196667 RDY196628:RDY196667 QUC196628:QUC196667 QKG196628:QKG196667 QAK196628:QAK196667 PQO196628:PQO196667 PGS196628:PGS196667 OWW196628:OWW196667 ONA196628:ONA196667 ODE196628:ODE196667 NTI196628:NTI196667 NJM196628:NJM196667 MZQ196628:MZQ196667 MPU196628:MPU196667 MFY196628:MFY196667 LWC196628:LWC196667 LMG196628:LMG196667 LCK196628:LCK196667 KSO196628:KSO196667 KIS196628:KIS196667 JYW196628:JYW196667 JPA196628:JPA196667 JFE196628:JFE196667 IVI196628:IVI196667 ILM196628:ILM196667 IBQ196628:IBQ196667 HRU196628:HRU196667 HHY196628:HHY196667 GYC196628:GYC196667 GOG196628:GOG196667 GEK196628:GEK196667 FUO196628:FUO196667 FKS196628:FKS196667 FAW196628:FAW196667 ERA196628:ERA196667 EHE196628:EHE196667 DXI196628:DXI196667 DNM196628:DNM196667 DDQ196628:DDQ196667 CTU196628:CTU196667 CJY196628:CJY196667 CAC196628:CAC196667 BQG196628:BQG196667 BGK196628:BGK196667 AWO196628:AWO196667 AMS196628:AMS196667 ACW196628:ACW196667 TA196628:TA196667 JE196628:JE196667 L196628:L196667 WVQ131092:WVQ131131 WLU131092:WLU131131 WBY131092:WBY131131 VSC131092:VSC131131 VIG131092:VIG131131 UYK131092:UYK131131 UOO131092:UOO131131 UES131092:UES131131 TUW131092:TUW131131 TLA131092:TLA131131 TBE131092:TBE131131 SRI131092:SRI131131 SHM131092:SHM131131 RXQ131092:RXQ131131 RNU131092:RNU131131 RDY131092:RDY131131 QUC131092:QUC131131 QKG131092:QKG131131 QAK131092:QAK131131 PQO131092:PQO131131 PGS131092:PGS131131 OWW131092:OWW131131 ONA131092:ONA131131 ODE131092:ODE131131 NTI131092:NTI131131 NJM131092:NJM131131 MZQ131092:MZQ131131 MPU131092:MPU131131 MFY131092:MFY131131 LWC131092:LWC131131 LMG131092:LMG131131 LCK131092:LCK131131 KSO131092:KSO131131 KIS131092:KIS131131 JYW131092:JYW131131 JPA131092:JPA131131 JFE131092:JFE131131 IVI131092:IVI131131 ILM131092:ILM131131 IBQ131092:IBQ131131 HRU131092:HRU131131 HHY131092:HHY131131 GYC131092:GYC131131 GOG131092:GOG131131 GEK131092:GEK131131 FUO131092:FUO131131 FKS131092:FKS131131 FAW131092:FAW131131 ERA131092:ERA131131 EHE131092:EHE131131 DXI131092:DXI131131 DNM131092:DNM131131 DDQ131092:DDQ131131 CTU131092:CTU131131 CJY131092:CJY131131 CAC131092:CAC131131 BQG131092:BQG131131 BGK131092:BGK131131 AWO131092:AWO131131 AMS131092:AMS131131 ACW131092:ACW131131 TA131092:TA131131 JE131092:JE131131 L131092:L131131 WVQ65556:WVQ65595 WLU65556:WLU65595 WBY65556:WBY65595 VSC65556:VSC65595 VIG65556:VIG65595 UYK65556:UYK65595 UOO65556:UOO65595 UES65556:UES65595 TUW65556:TUW65595 TLA65556:TLA65595 TBE65556:TBE65595 SRI65556:SRI65595 SHM65556:SHM65595 RXQ65556:RXQ65595 RNU65556:RNU65595 RDY65556:RDY65595 QUC65556:QUC65595 QKG65556:QKG65595 QAK65556:QAK65595 PQO65556:PQO65595 PGS65556:PGS65595 OWW65556:OWW65595 ONA65556:ONA65595 ODE65556:ODE65595 NTI65556:NTI65595 NJM65556:NJM65595 MZQ65556:MZQ65595 MPU65556:MPU65595 MFY65556:MFY65595 LWC65556:LWC65595 LMG65556:LMG65595 LCK65556:LCK65595 KSO65556:KSO65595 KIS65556:KIS65595 JYW65556:JYW65595 JPA65556:JPA65595 JFE65556:JFE65595 IVI65556:IVI65595 ILM65556:ILM65595 IBQ65556:IBQ65595 HRU65556:HRU65595 HHY65556:HHY65595 GYC65556:GYC65595 GOG65556:GOG65595 GEK65556:GEK65595 FUO65556:FUO65595 FKS65556:FKS65595 FAW65556:FAW65595 ERA65556:ERA65595 EHE65556:EHE65595 DXI65556:DXI65595 DNM65556:DNM65595 DDQ65556:DDQ65595 CTU65556:CTU65595 CJY65556:CJY65595 CAC65556:CAC65595 BQG65556:BQG65595 BGK65556:BGK65595 AWO65556:AWO65595 AMS65556:AMS65595 ACW65556:ACW65595 TA65556:TA65595 JE65556:JE65595 L65556:L65595 WVQ20:WVQ59 WLU20:WLU59 WBY20:WBY59 VSC20:VSC59 VIG20:VIG59 UYK20:UYK59 UOO20:UOO59 UES20:UES59 TUW20:TUW59 TLA20:TLA59 TBE20:TBE59 SRI20:SRI59 SHM20:SHM59 RXQ20:RXQ59 RNU20:RNU59 RDY20:RDY59 QUC20:QUC59 QKG20:QKG59 QAK20:QAK59 PQO20:PQO59 PGS20:PGS59 OWW20:OWW59 ONA20:ONA59 ODE20:ODE59 NTI20:NTI59 NJM20:NJM59 MZQ20:MZQ59 MPU20:MPU59 MFY20:MFY59 LWC20:LWC59 LMG20:LMG59 LCK20:LCK59 KSO20:KSO59 KIS20:KIS59 JYW20:JYW59 JPA20:JPA59 JFE20:JFE59 IVI20:IVI59 ILM20:ILM59 IBQ20:IBQ59 HRU20:HRU59 HHY20:HHY59 GYC20:GYC59 GOG20:GOG59 GEK20:GEK59 FUO20:FUO59 FKS20:FKS59 FAW20:FAW59 ERA20:ERA59 EHE20:EHE59 DXI20:DXI59 DNM20:DNM59 DDQ20:DDQ59 CTU20:CTU59 CJY20:CJY59 CAC20:CAC59 BQG20:BQG59 BGK20:BGK59 AWO20:AWO59 AMS20:AMS59 ACW20:ACW59 TA20:TA59 G57 G20:G26 G28 G30 G32 G43:G46 L20 Q58 Q47:Q56 Q45 Q38:Q40 Q32 Q29:Q30 Q27 V20:V22 V27 V29 V42:V46 V48:V52 V56 V58:V59">
      <formula1>$G$9:$G$15</formula1>
    </dataValidation>
    <dataValidation type="list" allowBlank="1" showInputMessage="1" showErrorMessage="1" sqref="F49:F54 JD20:JD59 SZ20:SZ59 ACV20:ACV59 AMR20:AMR59 AWN20:AWN59 BGJ20:BGJ59 BQF20:BQF59 CAB20:CAB59 CJX20:CJX59 CTT20:CTT59 DDP20:DDP59 DNL20:DNL59 DXH20:DXH59 EHD20:EHD59 EQZ20:EQZ59 FAV20:FAV59 FKR20:FKR59 FUN20:FUN59 GEJ20:GEJ59 GOF20:GOF59 GYB20:GYB59 HHX20:HHX59 HRT20:HRT59 IBP20:IBP59 ILL20:ILL59 IVH20:IVH59 JFD20:JFD59 JOZ20:JOZ59 JYV20:JYV59 KIR20:KIR59 KSN20:KSN59 LCJ20:LCJ59 LMF20:LMF59 LWB20:LWB59 MFX20:MFX59 MPT20:MPT59 MZP20:MZP59 NJL20:NJL59 NTH20:NTH59 ODD20:ODD59 OMZ20:OMZ59 OWV20:OWV59 PGR20:PGR59 PQN20:PQN59 QAJ20:QAJ59 QKF20:QKF59 QUB20:QUB59 RDX20:RDX59 RNT20:RNT59 RXP20:RXP59 SHL20:SHL59 SRH20:SRH59 TBD20:TBD59 TKZ20:TKZ59 TUV20:TUV59 UER20:UER59 UON20:UON59 UYJ20:UYJ59 VIF20:VIF59 VSB20:VSB59 WBX20:WBX59 WLT20:WLT59 WVP20:WVP59 K65556:K65595 JD65556:JD65595 SZ65556:SZ65595 ACV65556:ACV65595 AMR65556:AMR65595 AWN65556:AWN65595 BGJ65556:BGJ65595 BQF65556:BQF65595 CAB65556:CAB65595 CJX65556:CJX65595 CTT65556:CTT65595 DDP65556:DDP65595 DNL65556:DNL65595 DXH65556:DXH65595 EHD65556:EHD65595 EQZ65556:EQZ65595 FAV65556:FAV65595 FKR65556:FKR65595 FUN65556:FUN65595 GEJ65556:GEJ65595 GOF65556:GOF65595 GYB65556:GYB65595 HHX65556:HHX65595 HRT65556:HRT65595 IBP65556:IBP65595 ILL65556:ILL65595 IVH65556:IVH65595 JFD65556:JFD65595 JOZ65556:JOZ65595 JYV65556:JYV65595 KIR65556:KIR65595 KSN65556:KSN65595 LCJ65556:LCJ65595 LMF65556:LMF65595 LWB65556:LWB65595 MFX65556:MFX65595 MPT65556:MPT65595 MZP65556:MZP65595 NJL65556:NJL65595 NTH65556:NTH65595 ODD65556:ODD65595 OMZ65556:OMZ65595 OWV65556:OWV65595 PGR65556:PGR65595 PQN65556:PQN65595 QAJ65556:QAJ65595 QKF65556:QKF65595 QUB65556:QUB65595 RDX65556:RDX65595 RNT65556:RNT65595 RXP65556:RXP65595 SHL65556:SHL65595 SRH65556:SRH65595 TBD65556:TBD65595 TKZ65556:TKZ65595 TUV65556:TUV65595 UER65556:UER65595 UON65556:UON65595 UYJ65556:UYJ65595 VIF65556:VIF65595 VSB65556:VSB65595 WBX65556:WBX65595 WLT65556:WLT65595 WVP65556:WVP65595 K131092:K131131 JD131092:JD131131 SZ131092:SZ131131 ACV131092:ACV131131 AMR131092:AMR131131 AWN131092:AWN131131 BGJ131092:BGJ131131 BQF131092:BQF131131 CAB131092:CAB131131 CJX131092:CJX131131 CTT131092:CTT131131 DDP131092:DDP131131 DNL131092:DNL131131 DXH131092:DXH131131 EHD131092:EHD131131 EQZ131092:EQZ131131 FAV131092:FAV131131 FKR131092:FKR131131 FUN131092:FUN131131 GEJ131092:GEJ131131 GOF131092:GOF131131 GYB131092:GYB131131 HHX131092:HHX131131 HRT131092:HRT131131 IBP131092:IBP131131 ILL131092:ILL131131 IVH131092:IVH131131 JFD131092:JFD131131 JOZ131092:JOZ131131 JYV131092:JYV131131 KIR131092:KIR131131 KSN131092:KSN131131 LCJ131092:LCJ131131 LMF131092:LMF131131 LWB131092:LWB131131 MFX131092:MFX131131 MPT131092:MPT131131 MZP131092:MZP131131 NJL131092:NJL131131 NTH131092:NTH131131 ODD131092:ODD131131 OMZ131092:OMZ131131 OWV131092:OWV131131 PGR131092:PGR131131 PQN131092:PQN131131 QAJ131092:QAJ131131 QKF131092:QKF131131 QUB131092:QUB131131 RDX131092:RDX131131 RNT131092:RNT131131 RXP131092:RXP131131 SHL131092:SHL131131 SRH131092:SRH131131 TBD131092:TBD131131 TKZ131092:TKZ131131 TUV131092:TUV131131 UER131092:UER131131 UON131092:UON131131 UYJ131092:UYJ131131 VIF131092:VIF131131 VSB131092:VSB131131 WBX131092:WBX131131 WLT131092:WLT131131 WVP131092:WVP131131 K196628:K196667 JD196628:JD196667 SZ196628:SZ196667 ACV196628:ACV196667 AMR196628:AMR196667 AWN196628:AWN196667 BGJ196628:BGJ196667 BQF196628:BQF196667 CAB196628:CAB196667 CJX196628:CJX196667 CTT196628:CTT196667 DDP196628:DDP196667 DNL196628:DNL196667 DXH196628:DXH196667 EHD196628:EHD196667 EQZ196628:EQZ196667 FAV196628:FAV196667 FKR196628:FKR196667 FUN196628:FUN196667 GEJ196628:GEJ196667 GOF196628:GOF196667 GYB196628:GYB196667 HHX196628:HHX196667 HRT196628:HRT196667 IBP196628:IBP196667 ILL196628:ILL196667 IVH196628:IVH196667 JFD196628:JFD196667 JOZ196628:JOZ196667 JYV196628:JYV196667 KIR196628:KIR196667 KSN196628:KSN196667 LCJ196628:LCJ196667 LMF196628:LMF196667 LWB196628:LWB196667 MFX196628:MFX196667 MPT196628:MPT196667 MZP196628:MZP196667 NJL196628:NJL196667 NTH196628:NTH196667 ODD196628:ODD196667 OMZ196628:OMZ196667 OWV196628:OWV196667 PGR196628:PGR196667 PQN196628:PQN196667 QAJ196628:QAJ196667 QKF196628:QKF196667 QUB196628:QUB196667 RDX196628:RDX196667 RNT196628:RNT196667 RXP196628:RXP196667 SHL196628:SHL196667 SRH196628:SRH196667 TBD196628:TBD196667 TKZ196628:TKZ196667 TUV196628:TUV196667 UER196628:UER196667 UON196628:UON196667 UYJ196628:UYJ196667 VIF196628:VIF196667 VSB196628:VSB196667 WBX196628:WBX196667 WLT196628:WLT196667 WVP196628:WVP196667 K262164:K262203 JD262164:JD262203 SZ262164:SZ262203 ACV262164:ACV262203 AMR262164:AMR262203 AWN262164:AWN262203 BGJ262164:BGJ262203 BQF262164:BQF262203 CAB262164:CAB262203 CJX262164:CJX262203 CTT262164:CTT262203 DDP262164:DDP262203 DNL262164:DNL262203 DXH262164:DXH262203 EHD262164:EHD262203 EQZ262164:EQZ262203 FAV262164:FAV262203 FKR262164:FKR262203 FUN262164:FUN262203 GEJ262164:GEJ262203 GOF262164:GOF262203 GYB262164:GYB262203 HHX262164:HHX262203 HRT262164:HRT262203 IBP262164:IBP262203 ILL262164:ILL262203 IVH262164:IVH262203 JFD262164:JFD262203 JOZ262164:JOZ262203 JYV262164:JYV262203 KIR262164:KIR262203 KSN262164:KSN262203 LCJ262164:LCJ262203 LMF262164:LMF262203 LWB262164:LWB262203 MFX262164:MFX262203 MPT262164:MPT262203 MZP262164:MZP262203 NJL262164:NJL262203 NTH262164:NTH262203 ODD262164:ODD262203 OMZ262164:OMZ262203 OWV262164:OWV262203 PGR262164:PGR262203 PQN262164:PQN262203 QAJ262164:QAJ262203 QKF262164:QKF262203 QUB262164:QUB262203 RDX262164:RDX262203 RNT262164:RNT262203 RXP262164:RXP262203 SHL262164:SHL262203 SRH262164:SRH262203 TBD262164:TBD262203 TKZ262164:TKZ262203 TUV262164:TUV262203 UER262164:UER262203 UON262164:UON262203 UYJ262164:UYJ262203 VIF262164:VIF262203 VSB262164:VSB262203 WBX262164:WBX262203 WLT262164:WLT262203 WVP262164:WVP262203 K327700:K327739 JD327700:JD327739 SZ327700:SZ327739 ACV327700:ACV327739 AMR327700:AMR327739 AWN327700:AWN327739 BGJ327700:BGJ327739 BQF327700:BQF327739 CAB327700:CAB327739 CJX327700:CJX327739 CTT327700:CTT327739 DDP327700:DDP327739 DNL327700:DNL327739 DXH327700:DXH327739 EHD327700:EHD327739 EQZ327700:EQZ327739 FAV327700:FAV327739 FKR327700:FKR327739 FUN327700:FUN327739 GEJ327700:GEJ327739 GOF327700:GOF327739 GYB327700:GYB327739 HHX327700:HHX327739 HRT327700:HRT327739 IBP327700:IBP327739 ILL327700:ILL327739 IVH327700:IVH327739 JFD327700:JFD327739 JOZ327700:JOZ327739 JYV327700:JYV327739 KIR327700:KIR327739 KSN327700:KSN327739 LCJ327700:LCJ327739 LMF327700:LMF327739 LWB327700:LWB327739 MFX327700:MFX327739 MPT327700:MPT327739 MZP327700:MZP327739 NJL327700:NJL327739 NTH327700:NTH327739 ODD327700:ODD327739 OMZ327700:OMZ327739 OWV327700:OWV327739 PGR327700:PGR327739 PQN327700:PQN327739 QAJ327700:QAJ327739 QKF327700:QKF327739 QUB327700:QUB327739 RDX327700:RDX327739 RNT327700:RNT327739 RXP327700:RXP327739 SHL327700:SHL327739 SRH327700:SRH327739 TBD327700:TBD327739 TKZ327700:TKZ327739 TUV327700:TUV327739 UER327700:UER327739 UON327700:UON327739 UYJ327700:UYJ327739 VIF327700:VIF327739 VSB327700:VSB327739 WBX327700:WBX327739 WLT327700:WLT327739 WVP327700:WVP327739 K393236:K393275 JD393236:JD393275 SZ393236:SZ393275 ACV393236:ACV393275 AMR393236:AMR393275 AWN393236:AWN393275 BGJ393236:BGJ393275 BQF393236:BQF393275 CAB393236:CAB393275 CJX393236:CJX393275 CTT393236:CTT393275 DDP393236:DDP393275 DNL393236:DNL393275 DXH393236:DXH393275 EHD393236:EHD393275 EQZ393236:EQZ393275 FAV393236:FAV393275 FKR393236:FKR393275 FUN393236:FUN393275 GEJ393236:GEJ393275 GOF393236:GOF393275 GYB393236:GYB393275 HHX393236:HHX393275 HRT393236:HRT393275 IBP393236:IBP393275 ILL393236:ILL393275 IVH393236:IVH393275 JFD393236:JFD393275 JOZ393236:JOZ393275 JYV393236:JYV393275 KIR393236:KIR393275 KSN393236:KSN393275 LCJ393236:LCJ393275 LMF393236:LMF393275 LWB393236:LWB393275 MFX393236:MFX393275 MPT393236:MPT393275 MZP393236:MZP393275 NJL393236:NJL393275 NTH393236:NTH393275 ODD393236:ODD393275 OMZ393236:OMZ393275 OWV393236:OWV393275 PGR393236:PGR393275 PQN393236:PQN393275 QAJ393236:QAJ393275 QKF393236:QKF393275 QUB393236:QUB393275 RDX393236:RDX393275 RNT393236:RNT393275 RXP393236:RXP393275 SHL393236:SHL393275 SRH393236:SRH393275 TBD393236:TBD393275 TKZ393236:TKZ393275 TUV393236:TUV393275 UER393236:UER393275 UON393236:UON393275 UYJ393236:UYJ393275 VIF393236:VIF393275 VSB393236:VSB393275 WBX393236:WBX393275 WLT393236:WLT393275 WVP393236:WVP393275 K458772:K458811 JD458772:JD458811 SZ458772:SZ458811 ACV458772:ACV458811 AMR458772:AMR458811 AWN458772:AWN458811 BGJ458772:BGJ458811 BQF458772:BQF458811 CAB458772:CAB458811 CJX458772:CJX458811 CTT458772:CTT458811 DDP458772:DDP458811 DNL458772:DNL458811 DXH458772:DXH458811 EHD458772:EHD458811 EQZ458772:EQZ458811 FAV458772:FAV458811 FKR458772:FKR458811 FUN458772:FUN458811 GEJ458772:GEJ458811 GOF458772:GOF458811 GYB458772:GYB458811 HHX458772:HHX458811 HRT458772:HRT458811 IBP458772:IBP458811 ILL458772:ILL458811 IVH458772:IVH458811 JFD458772:JFD458811 JOZ458772:JOZ458811 JYV458772:JYV458811 KIR458772:KIR458811 KSN458772:KSN458811 LCJ458772:LCJ458811 LMF458772:LMF458811 LWB458772:LWB458811 MFX458772:MFX458811 MPT458772:MPT458811 MZP458772:MZP458811 NJL458772:NJL458811 NTH458772:NTH458811 ODD458772:ODD458811 OMZ458772:OMZ458811 OWV458772:OWV458811 PGR458772:PGR458811 PQN458772:PQN458811 QAJ458772:QAJ458811 QKF458772:QKF458811 QUB458772:QUB458811 RDX458772:RDX458811 RNT458772:RNT458811 RXP458772:RXP458811 SHL458772:SHL458811 SRH458772:SRH458811 TBD458772:TBD458811 TKZ458772:TKZ458811 TUV458772:TUV458811 UER458772:UER458811 UON458772:UON458811 UYJ458772:UYJ458811 VIF458772:VIF458811 VSB458772:VSB458811 WBX458772:WBX458811 WLT458772:WLT458811 WVP458772:WVP458811 K524308:K524347 JD524308:JD524347 SZ524308:SZ524347 ACV524308:ACV524347 AMR524308:AMR524347 AWN524308:AWN524347 BGJ524308:BGJ524347 BQF524308:BQF524347 CAB524308:CAB524347 CJX524308:CJX524347 CTT524308:CTT524347 DDP524308:DDP524347 DNL524308:DNL524347 DXH524308:DXH524347 EHD524308:EHD524347 EQZ524308:EQZ524347 FAV524308:FAV524347 FKR524308:FKR524347 FUN524308:FUN524347 GEJ524308:GEJ524347 GOF524308:GOF524347 GYB524308:GYB524347 HHX524308:HHX524347 HRT524308:HRT524347 IBP524308:IBP524347 ILL524308:ILL524347 IVH524308:IVH524347 JFD524308:JFD524347 JOZ524308:JOZ524347 JYV524308:JYV524347 KIR524308:KIR524347 KSN524308:KSN524347 LCJ524308:LCJ524347 LMF524308:LMF524347 LWB524308:LWB524347 MFX524308:MFX524347 MPT524308:MPT524347 MZP524308:MZP524347 NJL524308:NJL524347 NTH524308:NTH524347 ODD524308:ODD524347 OMZ524308:OMZ524347 OWV524308:OWV524347 PGR524308:PGR524347 PQN524308:PQN524347 QAJ524308:QAJ524347 QKF524308:QKF524347 QUB524308:QUB524347 RDX524308:RDX524347 RNT524308:RNT524347 RXP524308:RXP524347 SHL524308:SHL524347 SRH524308:SRH524347 TBD524308:TBD524347 TKZ524308:TKZ524347 TUV524308:TUV524347 UER524308:UER524347 UON524308:UON524347 UYJ524308:UYJ524347 VIF524308:VIF524347 VSB524308:VSB524347 WBX524308:WBX524347 WLT524308:WLT524347 WVP524308:WVP524347 K589844:K589883 JD589844:JD589883 SZ589844:SZ589883 ACV589844:ACV589883 AMR589844:AMR589883 AWN589844:AWN589883 BGJ589844:BGJ589883 BQF589844:BQF589883 CAB589844:CAB589883 CJX589844:CJX589883 CTT589844:CTT589883 DDP589844:DDP589883 DNL589844:DNL589883 DXH589844:DXH589883 EHD589844:EHD589883 EQZ589844:EQZ589883 FAV589844:FAV589883 FKR589844:FKR589883 FUN589844:FUN589883 GEJ589844:GEJ589883 GOF589844:GOF589883 GYB589844:GYB589883 HHX589844:HHX589883 HRT589844:HRT589883 IBP589844:IBP589883 ILL589844:ILL589883 IVH589844:IVH589883 JFD589844:JFD589883 JOZ589844:JOZ589883 JYV589844:JYV589883 KIR589844:KIR589883 KSN589844:KSN589883 LCJ589844:LCJ589883 LMF589844:LMF589883 LWB589844:LWB589883 MFX589844:MFX589883 MPT589844:MPT589883 MZP589844:MZP589883 NJL589844:NJL589883 NTH589844:NTH589883 ODD589844:ODD589883 OMZ589844:OMZ589883 OWV589844:OWV589883 PGR589844:PGR589883 PQN589844:PQN589883 QAJ589844:QAJ589883 QKF589844:QKF589883 QUB589844:QUB589883 RDX589844:RDX589883 RNT589844:RNT589883 RXP589844:RXP589883 SHL589844:SHL589883 SRH589844:SRH589883 TBD589844:TBD589883 TKZ589844:TKZ589883 TUV589844:TUV589883 UER589844:UER589883 UON589844:UON589883 UYJ589844:UYJ589883 VIF589844:VIF589883 VSB589844:VSB589883 WBX589844:WBX589883 WLT589844:WLT589883 WVP589844:WVP589883 K655380:K655419 JD655380:JD655419 SZ655380:SZ655419 ACV655380:ACV655419 AMR655380:AMR655419 AWN655380:AWN655419 BGJ655380:BGJ655419 BQF655380:BQF655419 CAB655380:CAB655419 CJX655380:CJX655419 CTT655380:CTT655419 DDP655380:DDP655419 DNL655380:DNL655419 DXH655380:DXH655419 EHD655380:EHD655419 EQZ655380:EQZ655419 FAV655380:FAV655419 FKR655380:FKR655419 FUN655380:FUN655419 GEJ655380:GEJ655419 GOF655380:GOF655419 GYB655380:GYB655419 HHX655380:HHX655419 HRT655380:HRT655419 IBP655380:IBP655419 ILL655380:ILL655419 IVH655380:IVH655419 JFD655380:JFD655419 JOZ655380:JOZ655419 JYV655380:JYV655419 KIR655380:KIR655419 KSN655380:KSN655419 LCJ655380:LCJ655419 LMF655380:LMF655419 LWB655380:LWB655419 MFX655380:MFX655419 MPT655380:MPT655419 MZP655380:MZP655419 NJL655380:NJL655419 NTH655380:NTH655419 ODD655380:ODD655419 OMZ655380:OMZ655419 OWV655380:OWV655419 PGR655380:PGR655419 PQN655380:PQN655419 QAJ655380:QAJ655419 QKF655380:QKF655419 QUB655380:QUB655419 RDX655380:RDX655419 RNT655380:RNT655419 RXP655380:RXP655419 SHL655380:SHL655419 SRH655380:SRH655419 TBD655380:TBD655419 TKZ655380:TKZ655419 TUV655380:TUV655419 UER655380:UER655419 UON655380:UON655419 UYJ655380:UYJ655419 VIF655380:VIF655419 VSB655380:VSB655419 WBX655380:WBX655419 WLT655380:WLT655419 WVP655380:WVP655419 K720916:K720955 JD720916:JD720955 SZ720916:SZ720955 ACV720916:ACV720955 AMR720916:AMR720955 AWN720916:AWN720955 BGJ720916:BGJ720955 BQF720916:BQF720955 CAB720916:CAB720955 CJX720916:CJX720955 CTT720916:CTT720955 DDP720916:DDP720955 DNL720916:DNL720955 DXH720916:DXH720955 EHD720916:EHD720955 EQZ720916:EQZ720955 FAV720916:FAV720955 FKR720916:FKR720955 FUN720916:FUN720955 GEJ720916:GEJ720955 GOF720916:GOF720955 GYB720916:GYB720955 HHX720916:HHX720955 HRT720916:HRT720955 IBP720916:IBP720955 ILL720916:ILL720955 IVH720916:IVH720955 JFD720916:JFD720955 JOZ720916:JOZ720955 JYV720916:JYV720955 KIR720916:KIR720955 KSN720916:KSN720955 LCJ720916:LCJ720955 LMF720916:LMF720955 LWB720916:LWB720955 MFX720916:MFX720955 MPT720916:MPT720955 MZP720916:MZP720955 NJL720916:NJL720955 NTH720916:NTH720955 ODD720916:ODD720955 OMZ720916:OMZ720955 OWV720916:OWV720955 PGR720916:PGR720955 PQN720916:PQN720955 QAJ720916:QAJ720955 QKF720916:QKF720955 QUB720916:QUB720955 RDX720916:RDX720955 RNT720916:RNT720955 RXP720916:RXP720955 SHL720916:SHL720955 SRH720916:SRH720955 TBD720916:TBD720955 TKZ720916:TKZ720955 TUV720916:TUV720955 UER720916:UER720955 UON720916:UON720955 UYJ720916:UYJ720955 VIF720916:VIF720955 VSB720916:VSB720955 WBX720916:WBX720955 WLT720916:WLT720955 WVP720916:WVP720955 K786452:K786491 JD786452:JD786491 SZ786452:SZ786491 ACV786452:ACV786491 AMR786452:AMR786491 AWN786452:AWN786491 BGJ786452:BGJ786491 BQF786452:BQF786491 CAB786452:CAB786491 CJX786452:CJX786491 CTT786452:CTT786491 DDP786452:DDP786491 DNL786452:DNL786491 DXH786452:DXH786491 EHD786452:EHD786491 EQZ786452:EQZ786491 FAV786452:FAV786491 FKR786452:FKR786491 FUN786452:FUN786491 GEJ786452:GEJ786491 GOF786452:GOF786491 GYB786452:GYB786491 HHX786452:HHX786491 HRT786452:HRT786491 IBP786452:IBP786491 ILL786452:ILL786491 IVH786452:IVH786491 JFD786452:JFD786491 JOZ786452:JOZ786491 JYV786452:JYV786491 KIR786452:KIR786491 KSN786452:KSN786491 LCJ786452:LCJ786491 LMF786452:LMF786491 LWB786452:LWB786491 MFX786452:MFX786491 MPT786452:MPT786491 MZP786452:MZP786491 NJL786452:NJL786491 NTH786452:NTH786491 ODD786452:ODD786491 OMZ786452:OMZ786491 OWV786452:OWV786491 PGR786452:PGR786491 PQN786452:PQN786491 QAJ786452:QAJ786491 QKF786452:QKF786491 QUB786452:QUB786491 RDX786452:RDX786491 RNT786452:RNT786491 RXP786452:RXP786491 SHL786452:SHL786491 SRH786452:SRH786491 TBD786452:TBD786491 TKZ786452:TKZ786491 TUV786452:TUV786491 UER786452:UER786491 UON786452:UON786491 UYJ786452:UYJ786491 VIF786452:VIF786491 VSB786452:VSB786491 WBX786452:WBX786491 WLT786452:WLT786491 WVP786452:WVP786491 K851988:K852027 JD851988:JD852027 SZ851988:SZ852027 ACV851988:ACV852027 AMR851988:AMR852027 AWN851988:AWN852027 BGJ851988:BGJ852027 BQF851988:BQF852027 CAB851988:CAB852027 CJX851988:CJX852027 CTT851988:CTT852027 DDP851988:DDP852027 DNL851988:DNL852027 DXH851988:DXH852027 EHD851988:EHD852027 EQZ851988:EQZ852027 FAV851988:FAV852027 FKR851988:FKR852027 FUN851988:FUN852027 GEJ851988:GEJ852027 GOF851988:GOF852027 GYB851988:GYB852027 HHX851988:HHX852027 HRT851988:HRT852027 IBP851988:IBP852027 ILL851988:ILL852027 IVH851988:IVH852027 JFD851988:JFD852027 JOZ851988:JOZ852027 JYV851988:JYV852027 KIR851988:KIR852027 KSN851988:KSN852027 LCJ851988:LCJ852027 LMF851988:LMF852027 LWB851988:LWB852027 MFX851988:MFX852027 MPT851988:MPT852027 MZP851988:MZP852027 NJL851988:NJL852027 NTH851988:NTH852027 ODD851988:ODD852027 OMZ851988:OMZ852027 OWV851988:OWV852027 PGR851988:PGR852027 PQN851988:PQN852027 QAJ851988:QAJ852027 QKF851988:QKF852027 QUB851988:QUB852027 RDX851988:RDX852027 RNT851988:RNT852027 RXP851988:RXP852027 SHL851988:SHL852027 SRH851988:SRH852027 TBD851988:TBD852027 TKZ851988:TKZ852027 TUV851988:TUV852027 UER851988:UER852027 UON851988:UON852027 UYJ851988:UYJ852027 VIF851988:VIF852027 VSB851988:VSB852027 WBX851988:WBX852027 WLT851988:WLT852027 WVP851988:WVP852027 K917524:K917563 JD917524:JD917563 SZ917524:SZ917563 ACV917524:ACV917563 AMR917524:AMR917563 AWN917524:AWN917563 BGJ917524:BGJ917563 BQF917524:BQF917563 CAB917524:CAB917563 CJX917524:CJX917563 CTT917524:CTT917563 DDP917524:DDP917563 DNL917524:DNL917563 DXH917524:DXH917563 EHD917524:EHD917563 EQZ917524:EQZ917563 FAV917524:FAV917563 FKR917524:FKR917563 FUN917524:FUN917563 GEJ917524:GEJ917563 GOF917524:GOF917563 GYB917524:GYB917563 HHX917524:HHX917563 HRT917524:HRT917563 IBP917524:IBP917563 ILL917524:ILL917563 IVH917524:IVH917563 JFD917524:JFD917563 JOZ917524:JOZ917563 JYV917524:JYV917563 KIR917524:KIR917563 KSN917524:KSN917563 LCJ917524:LCJ917563 LMF917524:LMF917563 LWB917524:LWB917563 MFX917524:MFX917563 MPT917524:MPT917563 MZP917524:MZP917563 NJL917524:NJL917563 NTH917524:NTH917563 ODD917524:ODD917563 OMZ917524:OMZ917563 OWV917524:OWV917563 PGR917524:PGR917563 PQN917524:PQN917563 QAJ917524:QAJ917563 QKF917524:QKF917563 QUB917524:QUB917563 RDX917524:RDX917563 RNT917524:RNT917563 RXP917524:RXP917563 SHL917524:SHL917563 SRH917524:SRH917563 TBD917524:TBD917563 TKZ917524:TKZ917563 TUV917524:TUV917563 UER917524:UER917563 UON917524:UON917563 UYJ917524:UYJ917563 VIF917524:VIF917563 VSB917524:VSB917563 WBX917524:WBX917563 WLT917524:WLT917563 WVP917524:WVP917563 K983060:K983099 JD983060:JD983099 SZ983060:SZ983099 ACV983060:ACV983099 AMR983060:AMR983099 AWN983060:AWN983099 BGJ983060:BGJ983099 BQF983060:BQF983099 CAB983060:CAB983099 CJX983060:CJX983099 CTT983060:CTT983099 DDP983060:DDP983099 DNL983060:DNL983099 DXH983060:DXH983099 EHD983060:EHD983099 EQZ983060:EQZ983099 FAV983060:FAV983099 FKR983060:FKR983099 FUN983060:FUN983099 GEJ983060:GEJ983099 GOF983060:GOF983099 GYB983060:GYB983099 HHX983060:HHX983099 HRT983060:HRT983099 IBP983060:IBP983099 ILL983060:ILL983099 IVH983060:IVH983099 JFD983060:JFD983099 JOZ983060:JOZ983099 JYV983060:JYV983099 KIR983060:KIR983099 KSN983060:KSN983099 LCJ983060:LCJ983099 LMF983060:LMF983099 LWB983060:LWB983099 MFX983060:MFX983099 MPT983060:MPT983099 MZP983060:MZP983099 NJL983060:NJL983099 NTH983060:NTH983099 ODD983060:ODD983099 OMZ983060:OMZ983099 OWV983060:OWV983099 PGR983060:PGR983099 PQN983060:PQN983099 QAJ983060:QAJ983099 QKF983060:QKF983099 QUB983060:QUB983099 RDX983060:RDX983099 RNT983060:RNT983099 RXP983060:RXP983099 SHL983060:SHL983099 SRH983060:SRH983099 TBD983060:TBD983099 TKZ983060:TKZ983099 TUV983060:TUV983099 UER983060:UER983099 UON983060:UON983099 UYJ983060:UYJ983099 VIF983060:VIF983099 VSB983060:VSB983099 WBX983060:WBX983099 WLT983060:WLT983099 WVP983060:WVP983099 P22:P24 IY20:IY59 SU20:SU59 ACQ20:ACQ59 AMM20:AMM59 AWI20:AWI59 BGE20:BGE59 BQA20:BQA59 BZW20:BZW59 CJS20:CJS59 CTO20:CTO59 DDK20:DDK59 DNG20:DNG59 DXC20:DXC59 EGY20:EGY59 EQU20:EQU59 FAQ20:FAQ59 FKM20:FKM59 FUI20:FUI59 GEE20:GEE59 GOA20:GOA59 GXW20:GXW59 HHS20:HHS59 HRO20:HRO59 IBK20:IBK59 ILG20:ILG59 IVC20:IVC59 JEY20:JEY59 JOU20:JOU59 JYQ20:JYQ59 KIM20:KIM59 KSI20:KSI59 LCE20:LCE59 LMA20:LMA59 LVW20:LVW59 MFS20:MFS59 MPO20:MPO59 MZK20:MZK59 NJG20:NJG59 NTC20:NTC59 OCY20:OCY59 OMU20:OMU59 OWQ20:OWQ59 PGM20:PGM59 PQI20:PQI59 QAE20:QAE59 QKA20:QKA59 QTW20:QTW59 RDS20:RDS59 RNO20:RNO59 RXK20:RXK59 SHG20:SHG59 SRC20:SRC59 TAY20:TAY59 TKU20:TKU59 TUQ20:TUQ59 UEM20:UEM59 UOI20:UOI59 UYE20:UYE59 VIA20:VIA59 VRW20:VRW59 WBS20:WBS59 WLO20:WLO59 WVK20:WVK59 F65556:F65595 IY65556:IY65595 SU65556:SU65595 ACQ65556:ACQ65595 AMM65556:AMM65595 AWI65556:AWI65595 BGE65556:BGE65595 BQA65556:BQA65595 BZW65556:BZW65595 CJS65556:CJS65595 CTO65556:CTO65595 DDK65556:DDK65595 DNG65556:DNG65595 DXC65556:DXC65595 EGY65556:EGY65595 EQU65556:EQU65595 FAQ65556:FAQ65595 FKM65556:FKM65595 FUI65556:FUI65595 GEE65556:GEE65595 GOA65556:GOA65595 GXW65556:GXW65595 HHS65556:HHS65595 HRO65556:HRO65595 IBK65556:IBK65595 ILG65556:ILG65595 IVC65556:IVC65595 JEY65556:JEY65595 JOU65556:JOU65595 JYQ65556:JYQ65595 KIM65556:KIM65595 KSI65556:KSI65595 LCE65556:LCE65595 LMA65556:LMA65595 LVW65556:LVW65595 MFS65556:MFS65595 MPO65556:MPO65595 MZK65556:MZK65595 NJG65556:NJG65595 NTC65556:NTC65595 OCY65556:OCY65595 OMU65556:OMU65595 OWQ65556:OWQ65595 PGM65556:PGM65595 PQI65556:PQI65595 QAE65556:QAE65595 QKA65556:QKA65595 QTW65556:QTW65595 RDS65556:RDS65595 RNO65556:RNO65595 RXK65556:RXK65595 SHG65556:SHG65595 SRC65556:SRC65595 TAY65556:TAY65595 TKU65556:TKU65595 TUQ65556:TUQ65595 UEM65556:UEM65595 UOI65556:UOI65595 UYE65556:UYE65595 VIA65556:VIA65595 VRW65556:VRW65595 WBS65556:WBS65595 WLO65556:WLO65595 WVK65556:WVK65595 F131092:F131131 IY131092:IY131131 SU131092:SU131131 ACQ131092:ACQ131131 AMM131092:AMM131131 AWI131092:AWI131131 BGE131092:BGE131131 BQA131092:BQA131131 BZW131092:BZW131131 CJS131092:CJS131131 CTO131092:CTO131131 DDK131092:DDK131131 DNG131092:DNG131131 DXC131092:DXC131131 EGY131092:EGY131131 EQU131092:EQU131131 FAQ131092:FAQ131131 FKM131092:FKM131131 FUI131092:FUI131131 GEE131092:GEE131131 GOA131092:GOA131131 GXW131092:GXW131131 HHS131092:HHS131131 HRO131092:HRO131131 IBK131092:IBK131131 ILG131092:ILG131131 IVC131092:IVC131131 JEY131092:JEY131131 JOU131092:JOU131131 JYQ131092:JYQ131131 KIM131092:KIM131131 KSI131092:KSI131131 LCE131092:LCE131131 LMA131092:LMA131131 LVW131092:LVW131131 MFS131092:MFS131131 MPO131092:MPO131131 MZK131092:MZK131131 NJG131092:NJG131131 NTC131092:NTC131131 OCY131092:OCY131131 OMU131092:OMU131131 OWQ131092:OWQ131131 PGM131092:PGM131131 PQI131092:PQI131131 QAE131092:QAE131131 QKA131092:QKA131131 QTW131092:QTW131131 RDS131092:RDS131131 RNO131092:RNO131131 RXK131092:RXK131131 SHG131092:SHG131131 SRC131092:SRC131131 TAY131092:TAY131131 TKU131092:TKU131131 TUQ131092:TUQ131131 UEM131092:UEM131131 UOI131092:UOI131131 UYE131092:UYE131131 VIA131092:VIA131131 VRW131092:VRW131131 WBS131092:WBS131131 WLO131092:WLO131131 WVK131092:WVK131131 F196628:F196667 IY196628:IY196667 SU196628:SU196667 ACQ196628:ACQ196667 AMM196628:AMM196667 AWI196628:AWI196667 BGE196628:BGE196667 BQA196628:BQA196667 BZW196628:BZW196667 CJS196628:CJS196667 CTO196628:CTO196667 DDK196628:DDK196667 DNG196628:DNG196667 DXC196628:DXC196667 EGY196628:EGY196667 EQU196628:EQU196667 FAQ196628:FAQ196667 FKM196628:FKM196667 FUI196628:FUI196667 GEE196628:GEE196667 GOA196628:GOA196667 GXW196628:GXW196667 HHS196628:HHS196667 HRO196628:HRO196667 IBK196628:IBK196667 ILG196628:ILG196667 IVC196628:IVC196667 JEY196628:JEY196667 JOU196628:JOU196667 JYQ196628:JYQ196667 KIM196628:KIM196667 KSI196628:KSI196667 LCE196628:LCE196667 LMA196628:LMA196667 LVW196628:LVW196667 MFS196628:MFS196667 MPO196628:MPO196667 MZK196628:MZK196667 NJG196628:NJG196667 NTC196628:NTC196667 OCY196628:OCY196667 OMU196628:OMU196667 OWQ196628:OWQ196667 PGM196628:PGM196667 PQI196628:PQI196667 QAE196628:QAE196667 QKA196628:QKA196667 QTW196628:QTW196667 RDS196628:RDS196667 RNO196628:RNO196667 RXK196628:RXK196667 SHG196628:SHG196667 SRC196628:SRC196667 TAY196628:TAY196667 TKU196628:TKU196667 TUQ196628:TUQ196667 UEM196628:UEM196667 UOI196628:UOI196667 UYE196628:UYE196667 VIA196628:VIA196667 VRW196628:VRW196667 WBS196628:WBS196667 WLO196628:WLO196667 WVK196628:WVK196667 F262164:F262203 IY262164:IY262203 SU262164:SU262203 ACQ262164:ACQ262203 AMM262164:AMM262203 AWI262164:AWI262203 BGE262164:BGE262203 BQA262164:BQA262203 BZW262164:BZW262203 CJS262164:CJS262203 CTO262164:CTO262203 DDK262164:DDK262203 DNG262164:DNG262203 DXC262164:DXC262203 EGY262164:EGY262203 EQU262164:EQU262203 FAQ262164:FAQ262203 FKM262164:FKM262203 FUI262164:FUI262203 GEE262164:GEE262203 GOA262164:GOA262203 GXW262164:GXW262203 HHS262164:HHS262203 HRO262164:HRO262203 IBK262164:IBK262203 ILG262164:ILG262203 IVC262164:IVC262203 JEY262164:JEY262203 JOU262164:JOU262203 JYQ262164:JYQ262203 KIM262164:KIM262203 KSI262164:KSI262203 LCE262164:LCE262203 LMA262164:LMA262203 LVW262164:LVW262203 MFS262164:MFS262203 MPO262164:MPO262203 MZK262164:MZK262203 NJG262164:NJG262203 NTC262164:NTC262203 OCY262164:OCY262203 OMU262164:OMU262203 OWQ262164:OWQ262203 PGM262164:PGM262203 PQI262164:PQI262203 QAE262164:QAE262203 QKA262164:QKA262203 QTW262164:QTW262203 RDS262164:RDS262203 RNO262164:RNO262203 RXK262164:RXK262203 SHG262164:SHG262203 SRC262164:SRC262203 TAY262164:TAY262203 TKU262164:TKU262203 TUQ262164:TUQ262203 UEM262164:UEM262203 UOI262164:UOI262203 UYE262164:UYE262203 VIA262164:VIA262203 VRW262164:VRW262203 WBS262164:WBS262203 WLO262164:WLO262203 WVK262164:WVK262203 F327700:F327739 IY327700:IY327739 SU327700:SU327739 ACQ327700:ACQ327739 AMM327700:AMM327739 AWI327700:AWI327739 BGE327700:BGE327739 BQA327700:BQA327739 BZW327700:BZW327739 CJS327700:CJS327739 CTO327700:CTO327739 DDK327700:DDK327739 DNG327700:DNG327739 DXC327700:DXC327739 EGY327700:EGY327739 EQU327700:EQU327739 FAQ327700:FAQ327739 FKM327700:FKM327739 FUI327700:FUI327739 GEE327700:GEE327739 GOA327700:GOA327739 GXW327700:GXW327739 HHS327700:HHS327739 HRO327700:HRO327739 IBK327700:IBK327739 ILG327700:ILG327739 IVC327700:IVC327739 JEY327700:JEY327739 JOU327700:JOU327739 JYQ327700:JYQ327739 KIM327700:KIM327739 KSI327700:KSI327739 LCE327700:LCE327739 LMA327700:LMA327739 LVW327700:LVW327739 MFS327700:MFS327739 MPO327700:MPO327739 MZK327700:MZK327739 NJG327700:NJG327739 NTC327700:NTC327739 OCY327700:OCY327739 OMU327700:OMU327739 OWQ327700:OWQ327739 PGM327700:PGM327739 PQI327700:PQI327739 QAE327700:QAE327739 QKA327700:QKA327739 QTW327700:QTW327739 RDS327700:RDS327739 RNO327700:RNO327739 RXK327700:RXK327739 SHG327700:SHG327739 SRC327700:SRC327739 TAY327700:TAY327739 TKU327700:TKU327739 TUQ327700:TUQ327739 UEM327700:UEM327739 UOI327700:UOI327739 UYE327700:UYE327739 VIA327700:VIA327739 VRW327700:VRW327739 WBS327700:WBS327739 WLO327700:WLO327739 WVK327700:WVK327739 F393236:F393275 IY393236:IY393275 SU393236:SU393275 ACQ393236:ACQ393275 AMM393236:AMM393275 AWI393236:AWI393275 BGE393236:BGE393275 BQA393236:BQA393275 BZW393236:BZW393275 CJS393236:CJS393275 CTO393236:CTO393275 DDK393236:DDK393275 DNG393236:DNG393275 DXC393236:DXC393275 EGY393236:EGY393275 EQU393236:EQU393275 FAQ393236:FAQ393275 FKM393236:FKM393275 FUI393236:FUI393275 GEE393236:GEE393275 GOA393236:GOA393275 GXW393236:GXW393275 HHS393236:HHS393275 HRO393236:HRO393275 IBK393236:IBK393275 ILG393236:ILG393275 IVC393236:IVC393275 JEY393236:JEY393275 JOU393236:JOU393275 JYQ393236:JYQ393275 KIM393236:KIM393275 KSI393236:KSI393275 LCE393236:LCE393275 LMA393236:LMA393275 LVW393236:LVW393275 MFS393236:MFS393275 MPO393236:MPO393275 MZK393236:MZK393275 NJG393236:NJG393275 NTC393236:NTC393275 OCY393236:OCY393275 OMU393236:OMU393275 OWQ393236:OWQ393275 PGM393236:PGM393275 PQI393236:PQI393275 QAE393236:QAE393275 QKA393236:QKA393275 QTW393236:QTW393275 RDS393236:RDS393275 RNO393236:RNO393275 RXK393236:RXK393275 SHG393236:SHG393275 SRC393236:SRC393275 TAY393236:TAY393275 TKU393236:TKU393275 TUQ393236:TUQ393275 UEM393236:UEM393275 UOI393236:UOI393275 UYE393236:UYE393275 VIA393236:VIA393275 VRW393236:VRW393275 WBS393236:WBS393275 WLO393236:WLO393275 WVK393236:WVK393275 F458772:F458811 IY458772:IY458811 SU458772:SU458811 ACQ458772:ACQ458811 AMM458772:AMM458811 AWI458772:AWI458811 BGE458772:BGE458811 BQA458772:BQA458811 BZW458772:BZW458811 CJS458772:CJS458811 CTO458772:CTO458811 DDK458772:DDK458811 DNG458772:DNG458811 DXC458772:DXC458811 EGY458772:EGY458811 EQU458772:EQU458811 FAQ458772:FAQ458811 FKM458772:FKM458811 FUI458772:FUI458811 GEE458772:GEE458811 GOA458772:GOA458811 GXW458772:GXW458811 HHS458772:HHS458811 HRO458772:HRO458811 IBK458772:IBK458811 ILG458772:ILG458811 IVC458772:IVC458811 JEY458772:JEY458811 JOU458772:JOU458811 JYQ458772:JYQ458811 KIM458772:KIM458811 KSI458772:KSI458811 LCE458772:LCE458811 LMA458772:LMA458811 LVW458772:LVW458811 MFS458772:MFS458811 MPO458772:MPO458811 MZK458772:MZK458811 NJG458772:NJG458811 NTC458772:NTC458811 OCY458772:OCY458811 OMU458772:OMU458811 OWQ458772:OWQ458811 PGM458772:PGM458811 PQI458772:PQI458811 QAE458772:QAE458811 QKA458772:QKA458811 QTW458772:QTW458811 RDS458772:RDS458811 RNO458772:RNO458811 RXK458772:RXK458811 SHG458772:SHG458811 SRC458772:SRC458811 TAY458772:TAY458811 TKU458772:TKU458811 TUQ458772:TUQ458811 UEM458772:UEM458811 UOI458772:UOI458811 UYE458772:UYE458811 VIA458772:VIA458811 VRW458772:VRW458811 WBS458772:WBS458811 WLO458772:WLO458811 WVK458772:WVK458811 F524308:F524347 IY524308:IY524347 SU524308:SU524347 ACQ524308:ACQ524347 AMM524308:AMM524347 AWI524308:AWI524347 BGE524308:BGE524347 BQA524308:BQA524347 BZW524308:BZW524347 CJS524308:CJS524347 CTO524308:CTO524347 DDK524308:DDK524347 DNG524308:DNG524347 DXC524308:DXC524347 EGY524308:EGY524347 EQU524308:EQU524347 FAQ524308:FAQ524347 FKM524308:FKM524347 FUI524308:FUI524347 GEE524308:GEE524347 GOA524308:GOA524347 GXW524308:GXW524347 HHS524308:HHS524347 HRO524308:HRO524347 IBK524308:IBK524347 ILG524308:ILG524347 IVC524308:IVC524347 JEY524308:JEY524347 JOU524308:JOU524347 JYQ524308:JYQ524347 KIM524308:KIM524347 KSI524308:KSI524347 LCE524308:LCE524347 LMA524308:LMA524347 LVW524308:LVW524347 MFS524308:MFS524347 MPO524308:MPO524347 MZK524308:MZK524347 NJG524308:NJG524347 NTC524308:NTC524347 OCY524308:OCY524347 OMU524308:OMU524347 OWQ524308:OWQ524347 PGM524308:PGM524347 PQI524308:PQI524347 QAE524308:QAE524347 QKA524308:QKA524347 QTW524308:QTW524347 RDS524308:RDS524347 RNO524308:RNO524347 RXK524308:RXK524347 SHG524308:SHG524347 SRC524308:SRC524347 TAY524308:TAY524347 TKU524308:TKU524347 TUQ524308:TUQ524347 UEM524308:UEM524347 UOI524308:UOI524347 UYE524308:UYE524347 VIA524308:VIA524347 VRW524308:VRW524347 WBS524308:WBS524347 WLO524308:WLO524347 WVK524308:WVK524347 F589844:F589883 IY589844:IY589883 SU589844:SU589883 ACQ589844:ACQ589883 AMM589844:AMM589883 AWI589844:AWI589883 BGE589844:BGE589883 BQA589844:BQA589883 BZW589844:BZW589883 CJS589844:CJS589883 CTO589844:CTO589883 DDK589844:DDK589883 DNG589844:DNG589883 DXC589844:DXC589883 EGY589844:EGY589883 EQU589844:EQU589883 FAQ589844:FAQ589883 FKM589844:FKM589883 FUI589844:FUI589883 GEE589844:GEE589883 GOA589844:GOA589883 GXW589844:GXW589883 HHS589844:HHS589883 HRO589844:HRO589883 IBK589844:IBK589883 ILG589844:ILG589883 IVC589844:IVC589883 JEY589844:JEY589883 JOU589844:JOU589883 JYQ589844:JYQ589883 KIM589844:KIM589883 KSI589844:KSI589883 LCE589844:LCE589883 LMA589844:LMA589883 LVW589844:LVW589883 MFS589844:MFS589883 MPO589844:MPO589883 MZK589844:MZK589883 NJG589844:NJG589883 NTC589844:NTC589883 OCY589844:OCY589883 OMU589844:OMU589883 OWQ589844:OWQ589883 PGM589844:PGM589883 PQI589844:PQI589883 QAE589844:QAE589883 QKA589844:QKA589883 QTW589844:QTW589883 RDS589844:RDS589883 RNO589844:RNO589883 RXK589844:RXK589883 SHG589844:SHG589883 SRC589844:SRC589883 TAY589844:TAY589883 TKU589844:TKU589883 TUQ589844:TUQ589883 UEM589844:UEM589883 UOI589844:UOI589883 UYE589844:UYE589883 VIA589844:VIA589883 VRW589844:VRW589883 WBS589844:WBS589883 WLO589844:WLO589883 WVK589844:WVK589883 F655380:F655419 IY655380:IY655419 SU655380:SU655419 ACQ655380:ACQ655419 AMM655380:AMM655419 AWI655380:AWI655419 BGE655380:BGE655419 BQA655380:BQA655419 BZW655380:BZW655419 CJS655380:CJS655419 CTO655380:CTO655419 DDK655380:DDK655419 DNG655380:DNG655419 DXC655380:DXC655419 EGY655380:EGY655419 EQU655380:EQU655419 FAQ655380:FAQ655419 FKM655380:FKM655419 FUI655380:FUI655419 GEE655380:GEE655419 GOA655380:GOA655419 GXW655380:GXW655419 HHS655380:HHS655419 HRO655380:HRO655419 IBK655380:IBK655419 ILG655380:ILG655419 IVC655380:IVC655419 JEY655380:JEY655419 JOU655380:JOU655419 JYQ655380:JYQ655419 KIM655380:KIM655419 KSI655380:KSI655419 LCE655380:LCE655419 LMA655380:LMA655419 LVW655380:LVW655419 MFS655380:MFS655419 MPO655380:MPO655419 MZK655380:MZK655419 NJG655380:NJG655419 NTC655380:NTC655419 OCY655380:OCY655419 OMU655380:OMU655419 OWQ655380:OWQ655419 PGM655380:PGM655419 PQI655380:PQI655419 QAE655380:QAE655419 QKA655380:QKA655419 QTW655380:QTW655419 RDS655380:RDS655419 RNO655380:RNO655419 RXK655380:RXK655419 SHG655380:SHG655419 SRC655380:SRC655419 TAY655380:TAY655419 TKU655380:TKU655419 TUQ655380:TUQ655419 UEM655380:UEM655419 UOI655380:UOI655419 UYE655380:UYE655419 VIA655380:VIA655419 VRW655380:VRW655419 WBS655380:WBS655419 WLO655380:WLO655419 WVK655380:WVK655419 F720916:F720955 IY720916:IY720955 SU720916:SU720955 ACQ720916:ACQ720955 AMM720916:AMM720955 AWI720916:AWI720955 BGE720916:BGE720955 BQA720916:BQA720955 BZW720916:BZW720955 CJS720916:CJS720955 CTO720916:CTO720955 DDK720916:DDK720955 DNG720916:DNG720955 DXC720916:DXC720955 EGY720916:EGY720955 EQU720916:EQU720955 FAQ720916:FAQ720955 FKM720916:FKM720955 FUI720916:FUI720955 GEE720916:GEE720955 GOA720916:GOA720955 GXW720916:GXW720955 HHS720916:HHS720955 HRO720916:HRO720955 IBK720916:IBK720955 ILG720916:ILG720955 IVC720916:IVC720955 JEY720916:JEY720955 JOU720916:JOU720955 JYQ720916:JYQ720955 KIM720916:KIM720955 KSI720916:KSI720955 LCE720916:LCE720955 LMA720916:LMA720955 LVW720916:LVW720955 MFS720916:MFS720955 MPO720916:MPO720955 MZK720916:MZK720955 NJG720916:NJG720955 NTC720916:NTC720955 OCY720916:OCY720955 OMU720916:OMU720955 OWQ720916:OWQ720955 PGM720916:PGM720955 PQI720916:PQI720955 QAE720916:QAE720955 QKA720916:QKA720955 QTW720916:QTW720955 RDS720916:RDS720955 RNO720916:RNO720955 RXK720916:RXK720955 SHG720916:SHG720955 SRC720916:SRC720955 TAY720916:TAY720955 TKU720916:TKU720955 TUQ720916:TUQ720955 UEM720916:UEM720955 UOI720916:UOI720955 UYE720916:UYE720955 VIA720916:VIA720955 VRW720916:VRW720955 WBS720916:WBS720955 WLO720916:WLO720955 WVK720916:WVK720955 F786452:F786491 IY786452:IY786491 SU786452:SU786491 ACQ786452:ACQ786491 AMM786452:AMM786491 AWI786452:AWI786491 BGE786452:BGE786491 BQA786452:BQA786491 BZW786452:BZW786491 CJS786452:CJS786491 CTO786452:CTO786491 DDK786452:DDK786491 DNG786452:DNG786491 DXC786452:DXC786491 EGY786452:EGY786491 EQU786452:EQU786491 FAQ786452:FAQ786491 FKM786452:FKM786491 FUI786452:FUI786491 GEE786452:GEE786491 GOA786452:GOA786491 GXW786452:GXW786491 HHS786452:HHS786491 HRO786452:HRO786491 IBK786452:IBK786491 ILG786452:ILG786491 IVC786452:IVC786491 JEY786452:JEY786491 JOU786452:JOU786491 JYQ786452:JYQ786491 KIM786452:KIM786491 KSI786452:KSI786491 LCE786452:LCE786491 LMA786452:LMA786491 LVW786452:LVW786491 MFS786452:MFS786491 MPO786452:MPO786491 MZK786452:MZK786491 NJG786452:NJG786491 NTC786452:NTC786491 OCY786452:OCY786491 OMU786452:OMU786491 OWQ786452:OWQ786491 PGM786452:PGM786491 PQI786452:PQI786491 QAE786452:QAE786491 QKA786452:QKA786491 QTW786452:QTW786491 RDS786452:RDS786491 RNO786452:RNO786491 RXK786452:RXK786491 SHG786452:SHG786491 SRC786452:SRC786491 TAY786452:TAY786491 TKU786452:TKU786491 TUQ786452:TUQ786491 UEM786452:UEM786491 UOI786452:UOI786491 UYE786452:UYE786491 VIA786452:VIA786491 VRW786452:VRW786491 WBS786452:WBS786491 WLO786452:WLO786491 WVK786452:WVK786491 F851988:F852027 IY851988:IY852027 SU851988:SU852027 ACQ851988:ACQ852027 AMM851988:AMM852027 AWI851988:AWI852027 BGE851988:BGE852027 BQA851988:BQA852027 BZW851988:BZW852027 CJS851988:CJS852027 CTO851988:CTO852027 DDK851988:DDK852027 DNG851988:DNG852027 DXC851988:DXC852027 EGY851988:EGY852027 EQU851988:EQU852027 FAQ851988:FAQ852027 FKM851988:FKM852027 FUI851988:FUI852027 GEE851988:GEE852027 GOA851988:GOA852027 GXW851988:GXW852027 HHS851988:HHS852027 HRO851988:HRO852027 IBK851988:IBK852027 ILG851988:ILG852027 IVC851988:IVC852027 JEY851988:JEY852027 JOU851988:JOU852027 JYQ851988:JYQ852027 KIM851988:KIM852027 KSI851988:KSI852027 LCE851988:LCE852027 LMA851988:LMA852027 LVW851988:LVW852027 MFS851988:MFS852027 MPO851988:MPO852027 MZK851988:MZK852027 NJG851988:NJG852027 NTC851988:NTC852027 OCY851988:OCY852027 OMU851988:OMU852027 OWQ851988:OWQ852027 PGM851988:PGM852027 PQI851988:PQI852027 QAE851988:QAE852027 QKA851988:QKA852027 QTW851988:QTW852027 RDS851988:RDS852027 RNO851988:RNO852027 RXK851988:RXK852027 SHG851988:SHG852027 SRC851988:SRC852027 TAY851988:TAY852027 TKU851988:TKU852027 TUQ851988:TUQ852027 UEM851988:UEM852027 UOI851988:UOI852027 UYE851988:UYE852027 VIA851988:VIA852027 VRW851988:VRW852027 WBS851988:WBS852027 WLO851988:WLO852027 WVK851988:WVK852027 F917524:F917563 IY917524:IY917563 SU917524:SU917563 ACQ917524:ACQ917563 AMM917524:AMM917563 AWI917524:AWI917563 BGE917524:BGE917563 BQA917524:BQA917563 BZW917524:BZW917563 CJS917524:CJS917563 CTO917524:CTO917563 DDK917524:DDK917563 DNG917524:DNG917563 DXC917524:DXC917563 EGY917524:EGY917563 EQU917524:EQU917563 FAQ917524:FAQ917563 FKM917524:FKM917563 FUI917524:FUI917563 GEE917524:GEE917563 GOA917524:GOA917563 GXW917524:GXW917563 HHS917524:HHS917563 HRO917524:HRO917563 IBK917524:IBK917563 ILG917524:ILG917563 IVC917524:IVC917563 JEY917524:JEY917563 JOU917524:JOU917563 JYQ917524:JYQ917563 KIM917524:KIM917563 KSI917524:KSI917563 LCE917524:LCE917563 LMA917524:LMA917563 LVW917524:LVW917563 MFS917524:MFS917563 MPO917524:MPO917563 MZK917524:MZK917563 NJG917524:NJG917563 NTC917524:NTC917563 OCY917524:OCY917563 OMU917524:OMU917563 OWQ917524:OWQ917563 PGM917524:PGM917563 PQI917524:PQI917563 QAE917524:QAE917563 QKA917524:QKA917563 QTW917524:QTW917563 RDS917524:RDS917563 RNO917524:RNO917563 RXK917524:RXK917563 SHG917524:SHG917563 SRC917524:SRC917563 TAY917524:TAY917563 TKU917524:TKU917563 TUQ917524:TUQ917563 UEM917524:UEM917563 UOI917524:UOI917563 UYE917524:UYE917563 VIA917524:VIA917563 VRW917524:VRW917563 WBS917524:WBS917563 WLO917524:WLO917563 WVK917524:WVK917563 F983060:F983099 IY983060:IY983099 SU983060:SU983099 ACQ983060:ACQ983099 AMM983060:AMM983099 AWI983060:AWI983099 BGE983060:BGE983099 BQA983060:BQA983099 BZW983060:BZW983099 CJS983060:CJS983099 CTO983060:CTO983099 DDK983060:DDK983099 DNG983060:DNG983099 DXC983060:DXC983099 EGY983060:EGY983099 EQU983060:EQU983099 FAQ983060:FAQ983099 FKM983060:FKM983099 FUI983060:FUI983099 GEE983060:GEE983099 GOA983060:GOA983099 GXW983060:GXW983099 HHS983060:HHS983099 HRO983060:HRO983099 IBK983060:IBK983099 ILG983060:ILG983099 IVC983060:IVC983099 JEY983060:JEY983099 JOU983060:JOU983099 JYQ983060:JYQ983099 KIM983060:KIM983099 KSI983060:KSI983099 LCE983060:LCE983099 LMA983060:LMA983099 LVW983060:LVW983099 MFS983060:MFS983099 MPO983060:MPO983099 MZK983060:MZK983099 NJG983060:NJG983099 NTC983060:NTC983099 OCY983060:OCY983099 OMU983060:OMU983099 OWQ983060:OWQ983099 PGM983060:PGM983099 PQI983060:PQI983099 QAE983060:QAE983099 QKA983060:QKA983099 QTW983060:QTW983099 RDS983060:RDS983099 RNO983060:RNO983099 RXK983060:RXK983099 SHG983060:SHG983099 SRC983060:SRC983099 TAY983060:TAY983099 TKU983060:TKU983099 TUQ983060:TUQ983099 UEM983060:UEM983099 UOI983060:UOI983099 UYE983060:UYE983099 VIA983060:VIA983099 VRW983060:VRW983099 WBS983060:WBS983099 WLO983060:WLO983099 WVK983060:WVK983099 WWA983060:WWA983099 JI20:JI59 TE20:TE59 ADA20:ADA59 AMW20:AMW59 AWS20:AWS59 BGO20:BGO59 BQK20:BQK59 CAG20:CAG59 CKC20:CKC59 CTY20:CTY59 DDU20:DDU59 DNQ20:DNQ59 DXM20:DXM59 EHI20:EHI59 ERE20:ERE59 FBA20:FBA59 FKW20:FKW59 FUS20:FUS59 GEO20:GEO59 GOK20:GOK59 GYG20:GYG59 HIC20:HIC59 HRY20:HRY59 IBU20:IBU59 ILQ20:ILQ59 IVM20:IVM59 JFI20:JFI59 JPE20:JPE59 JZA20:JZA59 KIW20:KIW59 KSS20:KSS59 LCO20:LCO59 LMK20:LMK59 LWG20:LWG59 MGC20:MGC59 MPY20:MPY59 MZU20:MZU59 NJQ20:NJQ59 NTM20:NTM59 ODI20:ODI59 ONE20:ONE59 OXA20:OXA59 PGW20:PGW59 PQS20:PQS59 QAO20:QAO59 QKK20:QKK59 QUG20:QUG59 REC20:REC59 RNY20:RNY59 RXU20:RXU59 SHQ20:SHQ59 SRM20:SRM59 TBI20:TBI59 TLE20:TLE59 TVA20:TVA59 UEW20:UEW59 UOS20:UOS59 UYO20:UYO59 VIK20:VIK59 VSG20:VSG59 WCC20:WCC59 WLY20:WLY59 WVU20:WVU59 P65556:P65595 JI65556:JI65595 TE65556:TE65595 ADA65556:ADA65595 AMW65556:AMW65595 AWS65556:AWS65595 BGO65556:BGO65595 BQK65556:BQK65595 CAG65556:CAG65595 CKC65556:CKC65595 CTY65556:CTY65595 DDU65556:DDU65595 DNQ65556:DNQ65595 DXM65556:DXM65595 EHI65556:EHI65595 ERE65556:ERE65595 FBA65556:FBA65595 FKW65556:FKW65595 FUS65556:FUS65595 GEO65556:GEO65595 GOK65556:GOK65595 GYG65556:GYG65595 HIC65556:HIC65595 HRY65556:HRY65595 IBU65556:IBU65595 ILQ65556:ILQ65595 IVM65556:IVM65595 JFI65556:JFI65595 JPE65556:JPE65595 JZA65556:JZA65595 KIW65556:KIW65595 KSS65556:KSS65595 LCO65556:LCO65595 LMK65556:LMK65595 LWG65556:LWG65595 MGC65556:MGC65595 MPY65556:MPY65595 MZU65556:MZU65595 NJQ65556:NJQ65595 NTM65556:NTM65595 ODI65556:ODI65595 ONE65556:ONE65595 OXA65556:OXA65595 PGW65556:PGW65595 PQS65556:PQS65595 QAO65556:QAO65595 QKK65556:QKK65595 QUG65556:QUG65595 REC65556:REC65595 RNY65556:RNY65595 RXU65556:RXU65595 SHQ65556:SHQ65595 SRM65556:SRM65595 TBI65556:TBI65595 TLE65556:TLE65595 TVA65556:TVA65595 UEW65556:UEW65595 UOS65556:UOS65595 UYO65556:UYO65595 VIK65556:VIK65595 VSG65556:VSG65595 WCC65556:WCC65595 WLY65556:WLY65595 WVU65556:WVU65595 P131092:P131131 JI131092:JI131131 TE131092:TE131131 ADA131092:ADA131131 AMW131092:AMW131131 AWS131092:AWS131131 BGO131092:BGO131131 BQK131092:BQK131131 CAG131092:CAG131131 CKC131092:CKC131131 CTY131092:CTY131131 DDU131092:DDU131131 DNQ131092:DNQ131131 DXM131092:DXM131131 EHI131092:EHI131131 ERE131092:ERE131131 FBA131092:FBA131131 FKW131092:FKW131131 FUS131092:FUS131131 GEO131092:GEO131131 GOK131092:GOK131131 GYG131092:GYG131131 HIC131092:HIC131131 HRY131092:HRY131131 IBU131092:IBU131131 ILQ131092:ILQ131131 IVM131092:IVM131131 JFI131092:JFI131131 JPE131092:JPE131131 JZA131092:JZA131131 KIW131092:KIW131131 KSS131092:KSS131131 LCO131092:LCO131131 LMK131092:LMK131131 LWG131092:LWG131131 MGC131092:MGC131131 MPY131092:MPY131131 MZU131092:MZU131131 NJQ131092:NJQ131131 NTM131092:NTM131131 ODI131092:ODI131131 ONE131092:ONE131131 OXA131092:OXA131131 PGW131092:PGW131131 PQS131092:PQS131131 QAO131092:QAO131131 QKK131092:QKK131131 QUG131092:QUG131131 REC131092:REC131131 RNY131092:RNY131131 RXU131092:RXU131131 SHQ131092:SHQ131131 SRM131092:SRM131131 TBI131092:TBI131131 TLE131092:TLE131131 TVA131092:TVA131131 UEW131092:UEW131131 UOS131092:UOS131131 UYO131092:UYO131131 VIK131092:VIK131131 VSG131092:VSG131131 WCC131092:WCC131131 WLY131092:WLY131131 WVU131092:WVU131131 P196628:P196667 JI196628:JI196667 TE196628:TE196667 ADA196628:ADA196667 AMW196628:AMW196667 AWS196628:AWS196667 BGO196628:BGO196667 BQK196628:BQK196667 CAG196628:CAG196667 CKC196628:CKC196667 CTY196628:CTY196667 DDU196628:DDU196667 DNQ196628:DNQ196667 DXM196628:DXM196667 EHI196628:EHI196667 ERE196628:ERE196667 FBA196628:FBA196667 FKW196628:FKW196667 FUS196628:FUS196667 GEO196628:GEO196667 GOK196628:GOK196667 GYG196628:GYG196667 HIC196628:HIC196667 HRY196628:HRY196667 IBU196628:IBU196667 ILQ196628:ILQ196667 IVM196628:IVM196667 JFI196628:JFI196667 JPE196628:JPE196667 JZA196628:JZA196667 KIW196628:KIW196667 KSS196628:KSS196667 LCO196628:LCO196667 LMK196628:LMK196667 LWG196628:LWG196667 MGC196628:MGC196667 MPY196628:MPY196667 MZU196628:MZU196667 NJQ196628:NJQ196667 NTM196628:NTM196667 ODI196628:ODI196667 ONE196628:ONE196667 OXA196628:OXA196667 PGW196628:PGW196667 PQS196628:PQS196667 QAO196628:QAO196667 QKK196628:QKK196667 QUG196628:QUG196667 REC196628:REC196667 RNY196628:RNY196667 RXU196628:RXU196667 SHQ196628:SHQ196667 SRM196628:SRM196667 TBI196628:TBI196667 TLE196628:TLE196667 TVA196628:TVA196667 UEW196628:UEW196667 UOS196628:UOS196667 UYO196628:UYO196667 VIK196628:VIK196667 VSG196628:VSG196667 WCC196628:WCC196667 WLY196628:WLY196667 WVU196628:WVU196667 P262164:P262203 JI262164:JI262203 TE262164:TE262203 ADA262164:ADA262203 AMW262164:AMW262203 AWS262164:AWS262203 BGO262164:BGO262203 BQK262164:BQK262203 CAG262164:CAG262203 CKC262164:CKC262203 CTY262164:CTY262203 DDU262164:DDU262203 DNQ262164:DNQ262203 DXM262164:DXM262203 EHI262164:EHI262203 ERE262164:ERE262203 FBA262164:FBA262203 FKW262164:FKW262203 FUS262164:FUS262203 GEO262164:GEO262203 GOK262164:GOK262203 GYG262164:GYG262203 HIC262164:HIC262203 HRY262164:HRY262203 IBU262164:IBU262203 ILQ262164:ILQ262203 IVM262164:IVM262203 JFI262164:JFI262203 JPE262164:JPE262203 JZA262164:JZA262203 KIW262164:KIW262203 KSS262164:KSS262203 LCO262164:LCO262203 LMK262164:LMK262203 LWG262164:LWG262203 MGC262164:MGC262203 MPY262164:MPY262203 MZU262164:MZU262203 NJQ262164:NJQ262203 NTM262164:NTM262203 ODI262164:ODI262203 ONE262164:ONE262203 OXA262164:OXA262203 PGW262164:PGW262203 PQS262164:PQS262203 QAO262164:QAO262203 QKK262164:QKK262203 QUG262164:QUG262203 REC262164:REC262203 RNY262164:RNY262203 RXU262164:RXU262203 SHQ262164:SHQ262203 SRM262164:SRM262203 TBI262164:TBI262203 TLE262164:TLE262203 TVA262164:TVA262203 UEW262164:UEW262203 UOS262164:UOS262203 UYO262164:UYO262203 VIK262164:VIK262203 VSG262164:VSG262203 WCC262164:WCC262203 WLY262164:WLY262203 WVU262164:WVU262203 P327700:P327739 JI327700:JI327739 TE327700:TE327739 ADA327700:ADA327739 AMW327700:AMW327739 AWS327700:AWS327739 BGO327700:BGO327739 BQK327700:BQK327739 CAG327700:CAG327739 CKC327700:CKC327739 CTY327700:CTY327739 DDU327700:DDU327739 DNQ327700:DNQ327739 DXM327700:DXM327739 EHI327700:EHI327739 ERE327700:ERE327739 FBA327700:FBA327739 FKW327700:FKW327739 FUS327700:FUS327739 GEO327700:GEO327739 GOK327700:GOK327739 GYG327700:GYG327739 HIC327700:HIC327739 HRY327700:HRY327739 IBU327700:IBU327739 ILQ327700:ILQ327739 IVM327700:IVM327739 JFI327700:JFI327739 JPE327700:JPE327739 JZA327700:JZA327739 KIW327700:KIW327739 KSS327700:KSS327739 LCO327700:LCO327739 LMK327700:LMK327739 LWG327700:LWG327739 MGC327700:MGC327739 MPY327700:MPY327739 MZU327700:MZU327739 NJQ327700:NJQ327739 NTM327700:NTM327739 ODI327700:ODI327739 ONE327700:ONE327739 OXA327700:OXA327739 PGW327700:PGW327739 PQS327700:PQS327739 QAO327700:QAO327739 QKK327700:QKK327739 QUG327700:QUG327739 REC327700:REC327739 RNY327700:RNY327739 RXU327700:RXU327739 SHQ327700:SHQ327739 SRM327700:SRM327739 TBI327700:TBI327739 TLE327700:TLE327739 TVA327700:TVA327739 UEW327700:UEW327739 UOS327700:UOS327739 UYO327700:UYO327739 VIK327700:VIK327739 VSG327700:VSG327739 WCC327700:WCC327739 WLY327700:WLY327739 WVU327700:WVU327739 P393236:P393275 JI393236:JI393275 TE393236:TE393275 ADA393236:ADA393275 AMW393236:AMW393275 AWS393236:AWS393275 BGO393236:BGO393275 BQK393236:BQK393275 CAG393236:CAG393275 CKC393236:CKC393275 CTY393236:CTY393275 DDU393236:DDU393275 DNQ393236:DNQ393275 DXM393236:DXM393275 EHI393236:EHI393275 ERE393236:ERE393275 FBA393236:FBA393275 FKW393236:FKW393275 FUS393236:FUS393275 GEO393236:GEO393275 GOK393236:GOK393275 GYG393236:GYG393275 HIC393236:HIC393275 HRY393236:HRY393275 IBU393236:IBU393275 ILQ393236:ILQ393275 IVM393236:IVM393275 JFI393236:JFI393275 JPE393236:JPE393275 JZA393236:JZA393275 KIW393236:KIW393275 KSS393236:KSS393275 LCO393236:LCO393275 LMK393236:LMK393275 LWG393236:LWG393275 MGC393236:MGC393275 MPY393236:MPY393275 MZU393236:MZU393275 NJQ393236:NJQ393275 NTM393236:NTM393275 ODI393236:ODI393275 ONE393236:ONE393275 OXA393236:OXA393275 PGW393236:PGW393275 PQS393236:PQS393275 QAO393236:QAO393275 QKK393236:QKK393275 QUG393236:QUG393275 REC393236:REC393275 RNY393236:RNY393275 RXU393236:RXU393275 SHQ393236:SHQ393275 SRM393236:SRM393275 TBI393236:TBI393275 TLE393236:TLE393275 TVA393236:TVA393275 UEW393236:UEW393275 UOS393236:UOS393275 UYO393236:UYO393275 VIK393236:VIK393275 VSG393236:VSG393275 WCC393236:WCC393275 WLY393236:WLY393275 WVU393236:WVU393275 P458772:P458811 JI458772:JI458811 TE458772:TE458811 ADA458772:ADA458811 AMW458772:AMW458811 AWS458772:AWS458811 BGO458772:BGO458811 BQK458772:BQK458811 CAG458772:CAG458811 CKC458772:CKC458811 CTY458772:CTY458811 DDU458772:DDU458811 DNQ458772:DNQ458811 DXM458772:DXM458811 EHI458772:EHI458811 ERE458772:ERE458811 FBA458772:FBA458811 FKW458772:FKW458811 FUS458772:FUS458811 GEO458772:GEO458811 GOK458772:GOK458811 GYG458772:GYG458811 HIC458772:HIC458811 HRY458772:HRY458811 IBU458772:IBU458811 ILQ458772:ILQ458811 IVM458772:IVM458811 JFI458772:JFI458811 JPE458772:JPE458811 JZA458772:JZA458811 KIW458772:KIW458811 KSS458772:KSS458811 LCO458772:LCO458811 LMK458772:LMK458811 LWG458772:LWG458811 MGC458772:MGC458811 MPY458772:MPY458811 MZU458772:MZU458811 NJQ458772:NJQ458811 NTM458772:NTM458811 ODI458772:ODI458811 ONE458772:ONE458811 OXA458772:OXA458811 PGW458772:PGW458811 PQS458772:PQS458811 QAO458772:QAO458811 QKK458772:QKK458811 QUG458772:QUG458811 REC458772:REC458811 RNY458772:RNY458811 RXU458772:RXU458811 SHQ458772:SHQ458811 SRM458772:SRM458811 TBI458772:TBI458811 TLE458772:TLE458811 TVA458772:TVA458811 UEW458772:UEW458811 UOS458772:UOS458811 UYO458772:UYO458811 VIK458772:VIK458811 VSG458772:VSG458811 WCC458772:WCC458811 WLY458772:WLY458811 WVU458772:WVU458811 P524308:P524347 JI524308:JI524347 TE524308:TE524347 ADA524308:ADA524347 AMW524308:AMW524347 AWS524308:AWS524347 BGO524308:BGO524347 BQK524308:BQK524347 CAG524308:CAG524347 CKC524308:CKC524347 CTY524308:CTY524347 DDU524308:DDU524347 DNQ524308:DNQ524347 DXM524308:DXM524347 EHI524308:EHI524347 ERE524308:ERE524347 FBA524308:FBA524347 FKW524308:FKW524347 FUS524308:FUS524347 GEO524308:GEO524347 GOK524308:GOK524347 GYG524308:GYG524347 HIC524308:HIC524347 HRY524308:HRY524347 IBU524308:IBU524347 ILQ524308:ILQ524347 IVM524308:IVM524347 JFI524308:JFI524347 JPE524308:JPE524347 JZA524308:JZA524347 KIW524308:KIW524347 KSS524308:KSS524347 LCO524308:LCO524347 LMK524308:LMK524347 LWG524308:LWG524347 MGC524308:MGC524347 MPY524308:MPY524347 MZU524308:MZU524347 NJQ524308:NJQ524347 NTM524308:NTM524347 ODI524308:ODI524347 ONE524308:ONE524347 OXA524308:OXA524347 PGW524308:PGW524347 PQS524308:PQS524347 QAO524308:QAO524347 QKK524308:QKK524347 QUG524308:QUG524347 REC524308:REC524347 RNY524308:RNY524347 RXU524308:RXU524347 SHQ524308:SHQ524347 SRM524308:SRM524347 TBI524308:TBI524347 TLE524308:TLE524347 TVA524308:TVA524347 UEW524308:UEW524347 UOS524308:UOS524347 UYO524308:UYO524347 VIK524308:VIK524347 VSG524308:VSG524347 WCC524308:WCC524347 WLY524308:WLY524347 WVU524308:WVU524347 P589844:P589883 JI589844:JI589883 TE589844:TE589883 ADA589844:ADA589883 AMW589844:AMW589883 AWS589844:AWS589883 BGO589844:BGO589883 BQK589844:BQK589883 CAG589844:CAG589883 CKC589844:CKC589883 CTY589844:CTY589883 DDU589844:DDU589883 DNQ589844:DNQ589883 DXM589844:DXM589883 EHI589844:EHI589883 ERE589844:ERE589883 FBA589844:FBA589883 FKW589844:FKW589883 FUS589844:FUS589883 GEO589844:GEO589883 GOK589844:GOK589883 GYG589844:GYG589883 HIC589844:HIC589883 HRY589844:HRY589883 IBU589844:IBU589883 ILQ589844:ILQ589883 IVM589844:IVM589883 JFI589844:JFI589883 JPE589844:JPE589883 JZA589844:JZA589883 KIW589844:KIW589883 KSS589844:KSS589883 LCO589844:LCO589883 LMK589844:LMK589883 LWG589844:LWG589883 MGC589844:MGC589883 MPY589844:MPY589883 MZU589844:MZU589883 NJQ589844:NJQ589883 NTM589844:NTM589883 ODI589844:ODI589883 ONE589844:ONE589883 OXA589844:OXA589883 PGW589844:PGW589883 PQS589844:PQS589883 QAO589844:QAO589883 QKK589844:QKK589883 QUG589844:QUG589883 REC589844:REC589883 RNY589844:RNY589883 RXU589844:RXU589883 SHQ589844:SHQ589883 SRM589844:SRM589883 TBI589844:TBI589883 TLE589844:TLE589883 TVA589844:TVA589883 UEW589844:UEW589883 UOS589844:UOS589883 UYO589844:UYO589883 VIK589844:VIK589883 VSG589844:VSG589883 WCC589844:WCC589883 WLY589844:WLY589883 WVU589844:WVU589883 P655380:P655419 JI655380:JI655419 TE655380:TE655419 ADA655380:ADA655419 AMW655380:AMW655419 AWS655380:AWS655419 BGO655380:BGO655419 BQK655380:BQK655419 CAG655380:CAG655419 CKC655380:CKC655419 CTY655380:CTY655419 DDU655380:DDU655419 DNQ655380:DNQ655419 DXM655380:DXM655419 EHI655380:EHI655419 ERE655380:ERE655419 FBA655380:FBA655419 FKW655380:FKW655419 FUS655380:FUS655419 GEO655380:GEO655419 GOK655380:GOK655419 GYG655380:GYG655419 HIC655380:HIC655419 HRY655380:HRY655419 IBU655380:IBU655419 ILQ655380:ILQ655419 IVM655380:IVM655419 JFI655380:JFI655419 JPE655380:JPE655419 JZA655380:JZA655419 KIW655380:KIW655419 KSS655380:KSS655419 LCO655380:LCO655419 LMK655380:LMK655419 LWG655380:LWG655419 MGC655380:MGC655419 MPY655380:MPY655419 MZU655380:MZU655419 NJQ655380:NJQ655419 NTM655380:NTM655419 ODI655380:ODI655419 ONE655380:ONE655419 OXA655380:OXA655419 PGW655380:PGW655419 PQS655380:PQS655419 QAO655380:QAO655419 QKK655380:QKK655419 QUG655380:QUG655419 REC655380:REC655419 RNY655380:RNY655419 RXU655380:RXU655419 SHQ655380:SHQ655419 SRM655380:SRM655419 TBI655380:TBI655419 TLE655380:TLE655419 TVA655380:TVA655419 UEW655380:UEW655419 UOS655380:UOS655419 UYO655380:UYO655419 VIK655380:VIK655419 VSG655380:VSG655419 WCC655380:WCC655419 WLY655380:WLY655419 WVU655380:WVU655419 P720916:P720955 JI720916:JI720955 TE720916:TE720955 ADA720916:ADA720955 AMW720916:AMW720955 AWS720916:AWS720955 BGO720916:BGO720955 BQK720916:BQK720955 CAG720916:CAG720955 CKC720916:CKC720955 CTY720916:CTY720955 DDU720916:DDU720955 DNQ720916:DNQ720955 DXM720916:DXM720955 EHI720916:EHI720955 ERE720916:ERE720955 FBA720916:FBA720955 FKW720916:FKW720955 FUS720916:FUS720955 GEO720916:GEO720955 GOK720916:GOK720955 GYG720916:GYG720955 HIC720916:HIC720955 HRY720916:HRY720955 IBU720916:IBU720955 ILQ720916:ILQ720955 IVM720916:IVM720955 JFI720916:JFI720955 JPE720916:JPE720955 JZA720916:JZA720955 KIW720916:KIW720955 KSS720916:KSS720955 LCO720916:LCO720955 LMK720916:LMK720955 LWG720916:LWG720955 MGC720916:MGC720955 MPY720916:MPY720955 MZU720916:MZU720955 NJQ720916:NJQ720955 NTM720916:NTM720955 ODI720916:ODI720955 ONE720916:ONE720955 OXA720916:OXA720955 PGW720916:PGW720955 PQS720916:PQS720955 QAO720916:QAO720955 QKK720916:QKK720955 QUG720916:QUG720955 REC720916:REC720955 RNY720916:RNY720955 RXU720916:RXU720955 SHQ720916:SHQ720955 SRM720916:SRM720955 TBI720916:TBI720955 TLE720916:TLE720955 TVA720916:TVA720955 UEW720916:UEW720955 UOS720916:UOS720955 UYO720916:UYO720955 VIK720916:VIK720955 VSG720916:VSG720955 WCC720916:WCC720955 WLY720916:WLY720955 WVU720916:WVU720955 P786452:P786491 JI786452:JI786491 TE786452:TE786491 ADA786452:ADA786491 AMW786452:AMW786491 AWS786452:AWS786491 BGO786452:BGO786491 BQK786452:BQK786491 CAG786452:CAG786491 CKC786452:CKC786491 CTY786452:CTY786491 DDU786452:DDU786491 DNQ786452:DNQ786491 DXM786452:DXM786491 EHI786452:EHI786491 ERE786452:ERE786491 FBA786452:FBA786491 FKW786452:FKW786491 FUS786452:FUS786491 GEO786452:GEO786491 GOK786452:GOK786491 GYG786452:GYG786491 HIC786452:HIC786491 HRY786452:HRY786491 IBU786452:IBU786491 ILQ786452:ILQ786491 IVM786452:IVM786491 JFI786452:JFI786491 JPE786452:JPE786491 JZA786452:JZA786491 KIW786452:KIW786491 KSS786452:KSS786491 LCO786452:LCO786491 LMK786452:LMK786491 LWG786452:LWG786491 MGC786452:MGC786491 MPY786452:MPY786491 MZU786452:MZU786491 NJQ786452:NJQ786491 NTM786452:NTM786491 ODI786452:ODI786491 ONE786452:ONE786491 OXA786452:OXA786491 PGW786452:PGW786491 PQS786452:PQS786491 QAO786452:QAO786491 QKK786452:QKK786491 QUG786452:QUG786491 REC786452:REC786491 RNY786452:RNY786491 RXU786452:RXU786491 SHQ786452:SHQ786491 SRM786452:SRM786491 TBI786452:TBI786491 TLE786452:TLE786491 TVA786452:TVA786491 UEW786452:UEW786491 UOS786452:UOS786491 UYO786452:UYO786491 VIK786452:VIK786491 VSG786452:VSG786491 WCC786452:WCC786491 WLY786452:WLY786491 WVU786452:WVU786491 P851988:P852027 JI851988:JI852027 TE851988:TE852027 ADA851988:ADA852027 AMW851988:AMW852027 AWS851988:AWS852027 BGO851988:BGO852027 BQK851988:BQK852027 CAG851988:CAG852027 CKC851988:CKC852027 CTY851988:CTY852027 DDU851988:DDU852027 DNQ851988:DNQ852027 DXM851988:DXM852027 EHI851988:EHI852027 ERE851988:ERE852027 FBA851988:FBA852027 FKW851988:FKW852027 FUS851988:FUS852027 GEO851988:GEO852027 GOK851988:GOK852027 GYG851988:GYG852027 HIC851988:HIC852027 HRY851988:HRY852027 IBU851988:IBU852027 ILQ851988:ILQ852027 IVM851988:IVM852027 JFI851988:JFI852027 JPE851988:JPE852027 JZA851988:JZA852027 KIW851988:KIW852027 KSS851988:KSS852027 LCO851988:LCO852027 LMK851988:LMK852027 LWG851988:LWG852027 MGC851988:MGC852027 MPY851988:MPY852027 MZU851988:MZU852027 NJQ851988:NJQ852027 NTM851988:NTM852027 ODI851988:ODI852027 ONE851988:ONE852027 OXA851988:OXA852027 PGW851988:PGW852027 PQS851988:PQS852027 QAO851988:QAO852027 QKK851988:QKK852027 QUG851988:QUG852027 REC851988:REC852027 RNY851988:RNY852027 RXU851988:RXU852027 SHQ851988:SHQ852027 SRM851988:SRM852027 TBI851988:TBI852027 TLE851988:TLE852027 TVA851988:TVA852027 UEW851988:UEW852027 UOS851988:UOS852027 UYO851988:UYO852027 VIK851988:VIK852027 VSG851988:VSG852027 WCC851988:WCC852027 WLY851988:WLY852027 WVU851988:WVU852027 P917524:P917563 JI917524:JI917563 TE917524:TE917563 ADA917524:ADA917563 AMW917524:AMW917563 AWS917524:AWS917563 BGO917524:BGO917563 BQK917524:BQK917563 CAG917524:CAG917563 CKC917524:CKC917563 CTY917524:CTY917563 DDU917524:DDU917563 DNQ917524:DNQ917563 DXM917524:DXM917563 EHI917524:EHI917563 ERE917524:ERE917563 FBA917524:FBA917563 FKW917524:FKW917563 FUS917524:FUS917563 GEO917524:GEO917563 GOK917524:GOK917563 GYG917524:GYG917563 HIC917524:HIC917563 HRY917524:HRY917563 IBU917524:IBU917563 ILQ917524:ILQ917563 IVM917524:IVM917563 JFI917524:JFI917563 JPE917524:JPE917563 JZA917524:JZA917563 KIW917524:KIW917563 KSS917524:KSS917563 LCO917524:LCO917563 LMK917524:LMK917563 LWG917524:LWG917563 MGC917524:MGC917563 MPY917524:MPY917563 MZU917524:MZU917563 NJQ917524:NJQ917563 NTM917524:NTM917563 ODI917524:ODI917563 ONE917524:ONE917563 OXA917524:OXA917563 PGW917524:PGW917563 PQS917524:PQS917563 QAO917524:QAO917563 QKK917524:QKK917563 QUG917524:QUG917563 REC917524:REC917563 RNY917524:RNY917563 RXU917524:RXU917563 SHQ917524:SHQ917563 SRM917524:SRM917563 TBI917524:TBI917563 TLE917524:TLE917563 TVA917524:TVA917563 UEW917524:UEW917563 UOS917524:UOS917563 UYO917524:UYO917563 VIK917524:VIK917563 VSG917524:VSG917563 WCC917524:WCC917563 WLY917524:WLY917563 WVU917524:WVU917563 P983060:P983099 JI983060:JI983099 TE983060:TE983099 ADA983060:ADA983099 AMW983060:AMW983099 AWS983060:AWS983099 BGO983060:BGO983099 BQK983060:BQK983099 CAG983060:CAG983099 CKC983060:CKC983099 CTY983060:CTY983099 DDU983060:DDU983099 DNQ983060:DNQ983099 DXM983060:DXM983099 EHI983060:EHI983099 ERE983060:ERE983099 FBA983060:FBA983099 FKW983060:FKW983099 FUS983060:FUS983099 GEO983060:GEO983099 GOK983060:GOK983099 GYG983060:GYG983099 HIC983060:HIC983099 HRY983060:HRY983099 IBU983060:IBU983099 ILQ983060:ILQ983099 IVM983060:IVM983099 JFI983060:JFI983099 JPE983060:JPE983099 JZA983060:JZA983099 KIW983060:KIW983099 KSS983060:KSS983099 LCO983060:LCO983099 LMK983060:LMK983099 LWG983060:LWG983099 MGC983060:MGC983099 MPY983060:MPY983099 MZU983060:MZU983099 NJQ983060:NJQ983099 NTM983060:NTM983099 ODI983060:ODI983099 ONE983060:ONE983099 OXA983060:OXA983099 PGW983060:PGW983099 PQS983060:PQS983099 QAO983060:QAO983099 QKK983060:QKK983099 QUG983060:QUG983099 REC983060:REC983099 RNY983060:RNY983099 RXU983060:RXU983099 SHQ983060:SHQ983099 SRM983060:SRM983099 TBI983060:TBI983099 TLE983060:TLE983099 TVA983060:TVA983099 UEW983060:UEW983099 UOS983060:UOS983099 UYO983060:UYO983099 VIK983060:VIK983099 VSG983060:VSG983099 WCC983060:WCC983099 WLY983060:WLY983099 WVU983060:WVU983099 K22:K59 JO20:JO59 TK20:TK59 ADG20:ADG59 ANC20:ANC59 AWY20:AWY59 BGU20:BGU59 BQQ20:BQQ59 CAM20:CAM59 CKI20:CKI59 CUE20:CUE59 DEA20:DEA59 DNW20:DNW59 DXS20:DXS59 EHO20:EHO59 ERK20:ERK59 FBG20:FBG59 FLC20:FLC59 FUY20:FUY59 GEU20:GEU59 GOQ20:GOQ59 GYM20:GYM59 HII20:HII59 HSE20:HSE59 ICA20:ICA59 ILW20:ILW59 IVS20:IVS59 JFO20:JFO59 JPK20:JPK59 JZG20:JZG59 KJC20:KJC59 KSY20:KSY59 LCU20:LCU59 LMQ20:LMQ59 LWM20:LWM59 MGI20:MGI59 MQE20:MQE59 NAA20:NAA59 NJW20:NJW59 NTS20:NTS59 ODO20:ODO59 ONK20:ONK59 OXG20:OXG59 PHC20:PHC59 PQY20:PQY59 QAU20:QAU59 QKQ20:QKQ59 QUM20:QUM59 REI20:REI59 ROE20:ROE59 RYA20:RYA59 SHW20:SHW59 SRS20:SRS59 TBO20:TBO59 TLK20:TLK59 TVG20:TVG59 UFC20:UFC59 UOY20:UOY59 UYU20:UYU59 VIQ20:VIQ59 VSM20:VSM59 WCI20:WCI59 WME20:WME59 WWA20:WWA59 U65556:U65595 JO65556:JO65595 TK65556:TK65595 ADG65556:ADG65595 ANC65556:ANC65595 AWY65556:AWY65595 BGU65556:BGU65595 BQQ65556:BQQ65595 CAM65556:CAM65595 CKI65556:CKI65595 CUE65556:CUE65595 DEA65556:DEA65595 DNW65556:DNW65595 DXS65556:DXS65595 EHO65556:EHO65595 ERK65556:ERK65595 FBG65556:FBG65595 FLC65556:FLC65595 FUY65556:FUY65595 GEU65556:GEU65595 GOQ65556:GOQ65595 GYM65556:GYM65595 HII65556:HII65595 HSE65556:HSE65595 ICA65556:ICA65595 ILW65556:ILW65595 IVS65556:IVS65595 JFO65556:JFO65595 JPK65556:JPK65595 JZG65556:JZG65595 KJC65556:KJC65595 KSY65556:KSY65595 LCU65556:LCU65595 LMQ65556:LMQ65595 LWM65556:LWM65595 MGI65556:MGI65595 MQE65556:MQE65595 NAA65556:NAA65595 NJW65556:NJW65595 NTS65556:NTS65595 ODO65556:ODO65595 ONK65556:ONK65595 OXG65556:OXG65595 PHC65556:PHC65595 PQY65556:PQY65595 QAU65556:QAU65595 QKQ65556:QKQ65595 QUM65556:QUM65595 REI65556:REI65595 ROE65556:ROE65595 RYA65556:RYA65595 SHW65556:SHW65595 SRS65556:SRS65595 TBO65556:TBO65595 TLK65556:TLK65595 TVG65556:TVG65595 UFC65556:UFC65595 UOY65556:UOY65595 UYU65556:UYU65595 VIQ65556:VIQ65595 VSM65556:VSM65595 WCI65556:WCI65595 WME65556:WME65595 WWA65556:WWA65595 U131092:U131131 JO131092:JO131131 TK131092:TK131131 ADG131092:ADG131131 ANC131092:ANC131131 AWY131092:AWY131131 BGU131092:BGU131131 BQQ131092:BQQ131131 CAM131092:CAM131131 CKI131092:CKI131131 CUE131092:CUE131131 DEA131092:DEA131131 DNW131092:DNW131131 DXS131092:DXS131131 EHO131092:EHO131131 ERK131092:ERK131131 FBG131092:FBG131131 FLC131092:FLC131131 FUY131092:FUY131131 GEU131092:GEU131131 GOQ131092:GOQ131131 GYM131092:GYM131131 HII131092:HII131131 HSE131092:HSE131131 ICA131092:ICA131131 ILW131092:ILW131131 IVS131092:IVS131131 JFO131092:JFO131131 JPK131092:JPK131131 JZG131092:JZG131131 KJC131092:KJC131131 KSY131092:KSY131131 LCU131092:LCU131131 LMQ131092:LMQ131131 LWM131092:LWM131131 MGI131092:MGI131131 MQE131092:MQE131131 NAA131092:NAA131131 NJW131092:NJW131131 NTS131092:NTS131131 ODO131092:ODO131131 ONK131092:ONK131131 OXG131092:OXG131131 PHC131092:PHC131131 PQY131092:PQY131131 QAU131092:QAU131131 QKQ131092:QKQ131131 QUM131092:QUM131131 REI131092:REI131131 ROE131092:ROE131131 RYA131092:RYA131131 SHW131092:SHW131131 SRS131092:SRS131131 TBO131092:TBO131131 TLK131092:TLK131131 TVG131092:TVG131131 UFC131092:UFC131131 UOY131092:UOY131131 UYU131092:UYU131131 VIQ131092:VIQ131131 VSM131092:VSM131131 WCI131092:WCI131131 WME131092:WME131131 WWA131092:WWA131131 U196628:U196667 JO196628:JO196667 TK196628:TK196667 ADG196628:ADG196667 ANC196628:ANC196667 AWY196628:AWY196667 BGU196628:BGU196667 BQQ196628:BQQ196667 CAM196628:CAM196667 CKI196628:CKI196667 CUE196628:CUE196667 DEA196628:DEA196667 DNW196628:DNW196667 DXS196628:DXS196667 EHO196628:EHO196667 ERK196628:ERK196667 FBG196628:FBG196667 FLC196628:FLC196667 FUY196628:FUY196667 GEU196628:GEU196667 GOQ196628:GOQ196667 GYM196628:GYM196667 HII196628:HII196667 HSE196628:HSE196667 ICA196628:ICA196667 ILW196628:ILW196667 IVS196628:IVS196667 JFO196628:JFO196667 JPK196628:JPK196667 JZG196628:JZG196667 KJC196628:KJC196667 KSY196628:KSY196667 LCU196628:LCU196667 LMQ196628:LMQ196667 LWM196628:LWM196667 MGI196628:MGI196667 MQE196628:MQE196667 NAA196628:NAA196667 NJW196628:NJW196667 NTS196628:NTS196667 ODO196628:ODO196667 ONK196628:ONK196667 OXG196628:OXG196667 PHC196628:PHC196667 PQY196628:PQY196667 QAU196628:QAU196667 QKQ196628:QKQ196667 QUM196628:QUM196667 REI196628:REI196667 ROE196628:ROE196667 RYA196628:RYA196667 SHW196628:SHW196667 SRS196628:SRS196667 TBO196628:TBO196667 TLK196628:TLK196667 TVG196628:TVG196667 UFC196628:UFC196667 UOY196628:UOY196667 UYU196628:UYU196667 VIQ196628:VIQ196667 VSM196628:VSM196667 WCI196628:WCI196667 WME196628:WME196667 WWA196628:WWA196667 U262164:U262203 JO262164:JO262203 TK262164:TK262203 ADG262164:ADG262203 ANC262164:ANC262203 AWY262164:AWY262203 BGU262164:BGU262203 BQQ262164:BQQ262203 CAM262164:CAM262203 CKI262164:CKI262203 CUE262164:CUE262203 DEA262164:DEA262203 DNW262164:DNW262203 DXS262164:DXS262203 EHO262164:EHO262203 ERK262164:ERK262203 FBG262164:FBG262203 FLC262164:FLC262203 FUY262164:FUY262203 GEU262164:GEU262203 GOQ262164:GOQ262203 GYM262164:GYM262203 HII262164:HII262203 HSE262164:HSE262203 ICA262164:ICA262203 ILW262164:ILW262203 IVS262164:IVS262203 JFO262164:JFO262203 JPK262164:JPK262203 JZG262164:JZG262203 KJC262164:KJC262203 KSY262164:KSY262203 LCU262164:LCU262203 LMQ262164:LMQ262203 LWM262164:LWM262203 MGI262164:MGI262203 MQE262164:MQE262203 NAA262164:NAA262203 NJW262164:NJW262203 NTS262164:NTS262203 ODO262164:ODO262203 ONK262164:ONK262203 OXG262164:OXG262203 PHC262164:PHC262203 PQY262164:PQY262203 QAU262164:QAU262203 QKQ262164:QKQ262203 QUM262164:QUM262203 REI262164:REI262203 ROE262164:ROE262203 RYA262164:RYA262203 SHW262164:SHW262203 SRS262164:SRS262203 TBO262164:TBO262203 TLK262164:TLK262203 TVG262164:TVG262203 UFC262164:UFC262203 UOY262164:UOY262203 UYU262164:UYU262203 VIQ262164:VIQ262203 VSM262164:VSM262203 WCI262164:WCI262203 WME262164:WME262203 WWA262164:WWA262203 U327700:U327739 JO327700:JO327739 TK327700:TK327739 ADG327700:ADG327739 ANC327700:ANC327739 AWY327700:AWY327739 BGU327700:BGU327739 BQQ327700:BQQ327739 CAM327700:CAM327739 CKI327700:CKI327739 CUE327700:CUE327739 DEA327700:DEA327739 DNW327700:DNW327739 DXS327700:DXS327739 EHO327700:EHO327739 ERK327700:ERK327739 FBG327700:FBG327739 FLC327700:FLC327739 FUY327700:FUY327739 GEU327700:GEU327739 GOQ327700:GOQ327739 GYM327700:GYM327739 HII327700:HII327739 HSE327700:HSE327739 ICA327700:ICA327739 ILW327700:ILW327739 IVS327700:IVS327739 JFO327700:JFO327739 JPK327700:JPK327739 JZG327700:JZG327739 KJC327700:KJC327739 KSY327700:KSY327739 LCU327700:LCU327739 LMQ327700:LMQ327739 LWM327700:LWM327739 MGI327700:MGI327739 MQE327700:MQE327739 NAA327700:NAA327739 NJW327700:NJW327739 NTS327700:NTS327739 ODO327700:ODO327739 ONK327700:ONK327739 OXG327700:OXG327739 PHC327700:PHC327739 PQY327700:PQY327739 QAU327700:QAU327739 QKQ327700:QKQ327739 QUM327700:QUM327739 REI327700:REI327739 ROE327700:ROE327739 RYA327700:RYA327739 SHW327700:SHW327739 SRS327700:SRS327739 TBO327700:TBO327739 TLK327700:TLK327739 TVG327700:TVG327739 UFC327700:UFC327739 UOY327700:UOY327739 UYU327700:UYU327739 VIQ327700:VIQ327739 VSM327700:VSM327739 WCI327700:WCI327739 WME327700:WME327739 WWA327700:WWA327739 U393236:U393275 JO393236:JO393275 TK393236:TK393275 ADG393236:ADG393275 ANC393236:ANC393275 AWY393236:AWY393275 BGU393236:BGU393275 BQQ393236:BQQ393275 CAM393236:CAM393275 CKI393236:CKI393275 CUE393236:CUE393275 DEA393236:DEA393275 DNW393236:DNW393275 DXS393236:DXS393275 EHO393236:EHO393275 ERK393236:ERK393275 FBG393236:FBG393275 FLC393236:FLC393275 FUY393236:FUY393275 GEU393236:GEU393275 GOQ393236:GOQ393275 GYM393236:GYM393275 HII393236:HII393275 HSE393236:HSE393275 ICA393236:ICA393275 ILW393236:ILW393275 IVS393236:IVS393275 JFO393236:JFO393275 JPK393236:JPK393275 JZG393236:JZG393275 KJC393236:KJC393275 KSY393236:KSY393275 LCU393236:LCU393275 LMQ393236:LMQ393275 LWM393236:LWM393275 MGI393236:MGI393275 MQE393236:MQE393275 NAA393236:NAA393275 NJW393236:NJW393275 NTS393236:NTS393275 ODO393236:ODO393275 ONK393236:ONK393275 OXG393236:OXG393275 PHC393236:PHC393275 PQY393236:PQY393275 QAU393236:QAU393275 QKQ393236:QKQ393275 QUM393236:QUM393275 REI393236:REI393275 ROE393236:ROE393275 RYA393236:RYA393275 SHW393236:SHW393275 SRS393236:SRS393275 TBO393236:TBO393275 TLK393236:TLK393275 TVG393236:TVG393275 UFC393236:UFC393275 UOY393236:UOY393275 UYU393236:UYU393275 VIQ393236:VIQ393275 VSM393236:VSM393275 WCI393236:WCI393275 WME393236:WME393275 WWA393236:WWA393275 U458772:U458811 JO458772:JO458811 TK458772:TK458811 ADG458772:ADG458811 ANC458772:ANC458811 AWY458772:AWY458811 BGU458772:BGU458811 BQQ458772:BQQ458811 CAM458772:CAM458811 CKI458772:CKI458811 CUE458772:CUE458811 DEA458772:DEA458811 DNW458772:DNW458811 DXS458772:DXS458811 EHO458772:EHO458811 ERK458772:ERK458811 FBG458772:FBG458811 FLC458772:FLC458811 FUY458772:FUY458811 GEU458772:GEU458811 GOQ458772:GOQ458811 GYM458772:GYM458811 HII458772:HII458811 HSE458772:HSE458811 ICA458772:ICA458811 ILW458772:ILW458811 IVS458772:IVS458811 JFO458772:JFO458811 JPK458772:JPK458811 JZG458772:JZG458811 KJC458772:KJC458811 KSY458772:KSY458811 LCU458772:LCU458811 LMQ458772:LMQ458811 LWM458772:LWM458811 MGI458772:MGI458811 MQE458772:MQE458811 NAA458772:NAA458811 NJW458772:NJW458811 NTS458772:NTS458811 ODO458772:ODO458811 ONK458772:ONK458811 OXG458772:OXG458811 PHC458772:PHC458811 PQY458772:PQY458811 QAU458772:QAU458811 QKQ458772:QKQ458811 QUM458772:QUM458811 REI458772:REI458811 ROE458772:ROE458811 RYA458772:RYA458811 SHW458772:SHW458811 SRS458772:SRS458811 TBO458772:TBO458811 TLK458772:TLK458811 TVG458772:TVG458811 UFC458772:UFC458811 UOY458772:UOY458811 UYU458772:UYU458811 VIQ458772:VIQ458811 VSM458772:VSM458811 WCI458772:WCI458811 WME458772:WME458811 WWA458772:WWA458811 U524308:U524347 JO524308:JO524347 TK524308:TK524347 ADG524308:ADG524347 ANC524308:ANC524347 AWY524308:AWY524347 BGU524308:BGU524347 BQQ524308:BQQ524347 CAM524308:CAM524347 CKI524308:CKI524347 CUE524308:CUE524347 DEA524308:DEA524347 DNW524308:DNW524347 DXS524308:DXS524347 EHO524308:EHO524347 ERK524308:ERK524347 FBG524308:FBG524347 FLC524308:FLC524347 FUY524308:FUY524347 GEU524308:GEU524347 GOQ524308:GOQ524347 GYM524308:GYM524347 HII524308:HII524347 HSE524308:HSE524347 ICA524308:ICA524347 ILW524308:ILW524347 IVS524308:IVS524347 JFO524308:JFO524347 JPK524308:JPK524347 JZG524308:JZG524347 KJC524308:KJC524347 KSY524308:KSY524347 LCU524308:LCU524347 LMQ524308:LMQ524347 LWM524308:LWM524347 MGI524308:MGI524347 MQE524308:MQE524347 NAA524308:NAA524347 NJW524308:NJW524347 NTS524308:NTS524347 ODO524308:ODO524347 ONK524308:ONK524347 OXG524308:OXG524347 PHC524308:PHC524347 PQY524308:PQY524347 QAU524308:QAU524347 QKQ524308:QKQ524347 QUM524308:QUM524347 REI524308:REI524347 ROE524308:ROE524347 RYA524308:RYA524347 SHW524308:SHW524347 SRS524308:SRS524347 TBO524308:TBO524347 TLK524308:TLK524347 TVG524308:TVG524347 UFC524308:UFC524347 UOY524308:UOY524347 UYU524308:UYU524347 VIQ524308:VIQ524347 VSM524308:VSM524347 WCI524308:WCI524347 WME524308:WME524347 WWA524308:WWA524347 U589844:U589883 JO589844:JO589883 TK589844:TK589883 ADG589844:ADG589883 ANC589844:ANC589883 AWY589844:AWY589883 BGU589844:BGU589883 BQQ589844:BQQ589883 CAM589844:CAM589883 CKI589844:CKI589883 CUE589844:CUE589883 DEA589844:DEA589883 DNW589844:DNW589883 DXS589844:DXS589883 EHO589844:EHO589883 ERK589844:ERK589883 FBG589844:FBG589883 FLC589844:FLC589883 FUY589844:FUY589883 GEU589844:GEU589883 GOQ589844:GOQ589883 GYM589844:GYM589883 HII589844:HII589883 HSE589844:HSE589883 ICA589844:ICA589883 ILW589844:ILW589883 IVS589844:IVS589883 JFO589844:JFO589883 JPK589844:JPK589883 JZG589844:JZG589883 KJC589844:KJC589883 KSY589844:KSY589883 LCU589844:LCU589883 LMQ589844:LMQ589883 LWM589844:LWM589883 MGI589844:MGI589883 MQE589844:MQE589883 NAA589844:NAA589883 NJW589844:NJW589883 NTS589844:NTS589883 ODO589844:ODO589883 ONK589844:ONK589883 OXG589844:OXG589883 PHC589844:PHC589883 PQY589844:PQY589883 QAU589844:QAU589883 QKQ589844:QKQ589883 QUM589844:QUM589883 REI589844:REI589883 ROE589844:ROE589883 RYA589844:RYA589883 SHW589844:SHW589883 SRS589844:SRS589883 TBO589844:TBO589883 TLK589844:TLK589883 TVG589844:TVG589883 UFC589844:UFC589883 UOY589844:UOY589883 UYU589844:UYU589883 VIQ589844:VIQ589883 VSM589844:VSM589883 WCI589844:WCI589883 WME589844:WME589883 WWA589844:WWA589883 U655380:U655419 JO655380:JO655419 TK655380:TK655419 ADG655380:ADG655419 ANC655380:ANC655419 AWY655380:AWY655419 BGU655380:BGU655419 BQQ655380:BQQ655419 CAM655380:CAM655419 CKI655380:CKI655419 CUE655380:CUE655419 DEA655380:DEA655419 DNW655380:DNW655419 DXS655380:DXS655419 EHO655380:EHO655419 ERK655380:ERK655419 FBG655380:FBG655419 FLC655380:FLC655419 FUY655380:FUY655419 GEU655380:GEU655419 GOQ655380:GOQ655419 GYM655380:GYM655419 HII655380:HII655419 HSE655380:HSE655419 ICA655380:ICA655419 ILW655380:ILW655419 IVS655380:IVS655419 JFO655380:JFO655419 JPK655380:JPK655419 JZG655380:JZG655419 KJC655380:KJC655419 KSY655380:KSY655419 LCU655380:LCU655419 LMQ655380:LMQ655419 LWM655380:LWM655419 MGI655380:MGI655419 MQE655380:MQE655419 NAA655380:NAA655419 NJW655380:NJW655419 NTS655380:NTS655419 ODO655380:ODO655419 ONK655380:ONK655419 OXG655380:OXG655419 PHC655380:PHC655419 PQY655380:PQY655419 QAU655380:QAU655419 QKQ655380:QKQ655419 QUM655380:QUM655419 REI655380:REI655419 ROE655380:ROE655419 RYA655380:RYA655419 SHW655380:SHW655419 SRS655380:SRS655419 TBO655380:TBO655419 TLK655380:TLK655419 TVG655380:TVG655419 UFC655380:UFC655419 UOY655380:UOY655419 UYU655380:UYU655419 VIQ655380:VIQ655419 VSM655380:VSM655419 WCI655380:WCI655419 WME655380:WME655419 WWA655380:WWA655419 U720916:U720955 JO720916:JO720955 TK720916:TK720955 ADG720916:ADG720955 ANC720916:ANC720955 AWY720916:AWY720955 BGU720916:BGU720955 BQQ720916:BQQ720955 CAM720916:CAM720955 CKI720916:CKI720955 CUE720916:CUE720955 DEA720916:DEA720955 DNW720916:DNW720955 DXS720916:DXS720955 EHO720916:EHO720955 ERK720916:ERK720955 FBG720916:FBG720955 FLC720916:FLC720955 FUY720916:FUY720955 GEU720916:GEU720955 GOQ720916:GOQ720955 GYM720916:GYM720955 HII720916:HII720955 HSE720916:HSE720955 ICA720916:ICA720955 ILW720916:ILW720955 IVS720916:IVS720955 JFO720916:JFO720955 JPK720916:JPK720955 JZG720916:JZG720955 KJC720916:KJC720955 KSY720916:KSY720955 LCU720916:LCU720955 LMQ720916:LMQ720955 LWM720916:LWM720955 MGI720916:MGI720955 MQE720916:MQE720955 NAA720916:NAA720955 NJW720916:NJW720955 NTS720916:NTS720955 ODO720916:ODO720955 ONK720916:ONK720955 OXG720916:OXG720955 PHC720916:PHC720955 PQY720916:PQY720955 QAU720916:QAU720955 QKQ720916:QKQ720955 QUM720916:QUM720955 REI720916:REI720955 ROE720916:ROE720955 RYA720916:RYA720955 SHW720916:SHW720955 SRS720916:SRS720955 TBO720916:TBO720955 TLK720916:TLK720955 TVG720916:TVG720955 UFC720916:UFC720955 UOY720916:UOY720955 UYU720916:UYU720955 VIQ720916:VIQ720955 VSM720916:VSM720955 WCI720916:WCI720955 WME720916:WME720955 WWA720916:WWA720955 U786452:U786491 JO786452:JO786491 TK786452:TK786491 ADG786452:ADG786491 ANC786452:ANC786491 AWY786452:AWY786491 BGU786452:BGU786491 BQQ786452:BQQ786491 CAM786452:CAM786491 CKI786452:CKI786491 CUE786452:CUE786491 DEA786452:DEA786491 DNW786452:DNW786491 DXS786452:DXS786491 EHO786452:EHO786491 ERK786452:ERK786491 FBG786452:FBG786491 FLC786452:FLC786491 FUY786452:FUY786491 GEU786452:GEU786491 GOQ786452:GOQ786491 GYM786452:GYM786491 HII786452:HII786491 HSE786452:HSE786491 ICA786452:ICA786491 ILW786452:ILW786491 IVS786452:IVS786491 JFO786452:JFO786491 JPK786452:JPK786491 JZG786452:JZG786491 KJC786452:KJC786491 KSY786452:KSY786491 LCU786452:LCU786491 LMQ786452:LMQ786491 LWM786452:LWM786491 MGI786452:MGI786491 MQE786452:MQE786491 NAA786452:NAA786491 NJW786452:NJW786491 NTS786452:NTS786491 ODO786452:ODO786491 ONK786452:ONK786491 OXG786452:OXG786491 PHC786452:PHC786491 PQY786452:PQY786491 QAU786452:QAU786491 QKQ786452:QKQ786491 QUM786452:QUM786491 REI786452:REI786491 ROE786452:ROE786491 RYA786452:RYA786491 SHW786452:SHW786491 SRS786452:SRS786491 TBO786452:TBO786491 TLK786452:TLK786491 TVG786452:TVG786491 UFC786452:UFC786491 UOY786452:UOY786491 UYU786452:UYU786491 VIQ786452:VIQ786491 VSM786452:VSM786491 WCI786452:WCI786491 WME786452:WME786491 WWA786452:WWA786491 U851988:U852027 JO851988:JO852027 TK851988:TK852027 ADG851988:ADG852027 ANC851988:ANC852027 AWY851988:AWY852027 BGU851988:BGU852027 BQQ851988:BQQ852027 CAM851988:CAM852027 CKI851988:CKI852027 CUE851988:CUE852027 DEA851988:DEA852027 DNW851988:DNW852027 DXS851988:DXS852027 EHO851988:EHO852027 ERK851988:ERK852027 FBG851988:FBG852027 FLC851988:FLC852027 FUY851988:FUY852027 GEU851988:GEU852027 GOQ851988:GOQ852027 GYM851988:GYM852027 HII851988:HII852027 HSE851988:HSE852027 ICA851988:ICA852027 ILW851988:ILW852027 IVS851988:IVS852027 JFO851988:JFO852027 JPK851988:JPK852027 JZG851988:JZG852027 KJC851988:KJC852027 KSY851988:KSY852027 LCU851988:LCU852027 LMQ851988:LMQ852027 LWM851988:LWM852027 MGI851988:MGI852027 MQE851988:MQE852027 NAA851988:NAA852027 NJW851988:NJW852027 NTS851988:NTS852027 ODO851988:ODO852027 ONK851988:ONK852027 OXG851988:OXG852027 PHC851988:PHC852027 PQY851988:PQY852027 QAU851988:QAU852027 QKQ851988:QKQ852027 QUM851988:QUM852027 REI851988:REI852027 ROE851988:ROE852027 RYA851988:RYA852027 SHW851988:SHW852027 SRS851988:SRS852027 TBO851988:TBO852027 TLK851988:TLK852027 TVG851988:TVG852027 UFC851988:UFC852027 UOY851988:UOY852027 UYU851988:UYU852027 VIQ851988:VIQ852027 VSM851988:VSM852027 WCI851988:WCI852027 WME851988:WME852027 WWA851988:WWA852027 U917524:U917563 JO917524:JO917563 TK917524:TK917563 ADG917524:ADG917563 ANC917524:ANC917563 AWY917524:AWY917563 BGU917524:BGU917563 BQQ917524:BQQ917563 CAM917524:CAM917563 CKI917524:CKI917563 CUE917524:CUE917563 DEA917524:DEA917563 DNW917524:DNW917563 DXS917524:DXS917563 EHO917524:EHO917563 ERK917524:ERK917563 FBG917524:FBG917563 FLC917524:FLC917563 FUY917524:FUY917563 GEU917524:GEU917563 GOQ917524:GOQ917563 GYM917524:GYM917563 HII917524:HII917563 HSE917524:HSE917563 ICA917524:ICA917563 ILW917524:ILW917563 IVS917524:IVS917563 JFO917524:JFO917563 JPK917524:JPK917563 JZG917524:JZG917563 KJC917524:KJC917563 KSY917524:KSY917563 LCU917524:LCU917563 LMQ917524:LMQ917563 LWM917524:LWM917563 MGI917524:MGI917563 MQE917524:MQE917563 NAA917524:NAA917563 NJW917524:NJW917563 NTS917524:NTS917563 ODO917524:ODO917563 ONK917524:ONK917563 OXG917524:OXG917563 PHC917524:PHC917563 PQY917524:PQY917563 QAU917524:QAU917563 QKQ917524:QKQ917563 QUM917524:QUM917563 REI917524:REI917563 ROE917524:ROE917563 RYA917524:RYA917563 SHW917524:SHW917563 SRS917524:SRS917563 TBO917524:TBO917563 TLK917524:TLK917563 TVG917524:TVG917563 UFC917524:UFC917563 UOY917524:UOY917563 UYU917524:UYU917563 VIQ917524:VIQ917563 VSM917524:VSM917563 WCI917524:WCI917563 WME917524:WME917563 WWA917524:WWA917563 U983060:U983099 JO983060:JO983099 TK983060:TK983099 ADG983060:ADG983099 ANC983060:ANC983099 AWY983060:AWY983099 BGU983060:BGU983099 BQQ983060:BQQ983099 CAM983060:CAM983099 CKI983060:CKI983099 CUE983060:CUE983099 DEA983060:DEA983099 DNW983060:DNW983099 DXS983060:DXS983099 EHO983060:EHO983099 ERK983060:ERK983099 FBG983060:FBG983099 FLC983060:FLC983099 FUY983060:FUY983099 GEU983060:GEU983099 GOQ983060:GOQ983099 GYM983060:GYM983099 HII983060:HII983099 HSE983060:HSE983099 ICA983060:ICA983099 ILW983060:ILW983099 IVS983060:IVS983099 JFO983060:JFO983099 JPK983060:JPK983099 JZG983060:JZG983099 KJC983060:KJC983099 KSY983060:KSY983099 LCU983060:LCU983099 LMQ983060:LMQ983099 LWM983060:LWM983099 MGI983060:MGI983099 MQE983060:MQE983099 NAA983060:NAA983099 NJW983060:NJW983099 NTS983060:NTS983099 ODO983060:ODO983099 ONK983060:ONK983099 OXG983060:OXG983099 PHC983060:PHC983099 PQY983060:PQY983099 QAU983060:QAU983099 QKQ983060:QKQ983099 QUM983060:QUM983099 REI983060:REI983099 ROE983060:ROE983099 RYA983060:RYA983099 SHW983060:SHW983099 SRS983060:SRS983099 TBO983060:TBO983099 TLK983060:TLK983099 TVG983060:TVG983099 UFC983060:UFC983099 UOY983060:UOY983099 UYU983060:UYU983099 VIQ983060:VIQ983099 VSM983060:VSM983099 WCI983060:WCI983099 WME983060:WME983099 F57 F20:F26 F28 F30 F32 F43:F46 K20 P58 P47:P56 P45 P38:P40 P32 P29:P30 P27 U20:U22 U27 U29 U42:U46 U48:U52 U56 U58:U59">
      <formula1>$AD$2:$AD$75</formula1>
    </dataValidation>
  </dataValidations>
  <pageMargins left="0.51181102362204722" right="0.51181102362204722" top="0.39370078740157483" bottom="0.39370078740157483" header="0.23622047244094491" footer="0.31496062992125984"/>
  <pageSetup paperSize="9" orientation="portrait" horizontalDpi="4294967292" verticalDpi="4294967292"/>
  <headerFooter>
    <oddHeader>&amp;CReef Check Brasil - substrato dados espécies</oddHeader>
    <oddFooter>Página &amp;P de &amp;N</oddFooter>
  </headerFooter>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INSTRUÇÕES</vt:lpstr>
      <vt:lpstr>SUMÁRIO</vt:lpstr>
      <vt:lpstr>GRÁFICOS</vt:lpstr>
      <vt:lpstr>DADOS ESPÉCIES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Mariana</dc:creator>
  <cp:lastModifiedBy>Coral Vivo Bahia</cp:lastModifiedBy>
  <cp:lastPrinted>2018-01-23T18:05:17Z</cp:lastPrinted>
  <dcterms:created xsi:type="dcterms:W3CDTF">2017-05-31T08:53:14Z</dcterms:created>
  <dcterms:modified xsi:type="dcterms:W3CDTF">2019-03-27T19:34:52Z</dcterms:modified>
</cp:coreProperties>
</file>