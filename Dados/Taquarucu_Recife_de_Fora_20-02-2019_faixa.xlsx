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8705"/>
  <workbookPr autoCompressPictures="0"/>
  <workbookProtection workbookPassword="C446" lockStructure="1"/>
  <bookViews>
    <workbookView xWindow="0" yWindow="0" windowWidth="25600" windowHeight="16060" activeTab="2"/>
  </bookViews>
  <sheets>
    <sheet name="INSTRUÇÕES" sheetId="4" r:id="rId1"/>
    <sheet name="SUMÁRIO" sheetId="5" r:id="rId2"/>
    <sheet name="GRÁFICOS" sheetId="6" r:id="rId3"/>
    <sheet name="DADOS PEIXES" sheetId="7" r:id="rId4"/>
    <sheet name="DADOS INVERTEBRADOS" sheetId="8" r:id="rId5"/>
  </sheets>
  <definedNames>
    <definedName name="espécies_invertebrados" localSheetId="4">'DADOS INVERTEBRADOS'!$T$2:$T$51</definedName>
    <definedName name="espécies_peixes">'DADOS PEIXES'!$AA$2:$AA$161</definedName>
    <definedName name="indicadores_invertebrados" localSheetId="4">'DADOS INVERTEBRADOS'!$S$3:$S$17</definedName>
    <definedName name="indicadores_peixes">'DADOS PEIXES'!$Z$3:$Z$18</definedName>
    <definedName name="_xlnm.Print_Area" localSheetId="4">'DADOS INVERTEBRADOS'!$D$2:$Q$50</definedName>
    <definedName name="_xlnm.Print_Area" localSheetId="3">'DADOS PEIXES'!$E$2:$X$72</definedName>
    <definedName name="_xlnm.Print_Area" localSheetId="2">GRÁFICOS!$B$4:$N$98</definedName>
    <definedName name="_xlnm.Print_Area" localSheetId="0">INSTRUÇÕES!$A$3:$A$54</definedName>
    <definedName name="_xlnm.Print_Area" localSheetId="1">SUMÁRIO!$B$2:$J$86</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F23" i="5" l="1"/>
  <c r="E23" i="5"/>
  <c r="D23" i="5"/>
  <c r="C23" i="5"/>
  <c r="F22" i="5"/>
  <c r="E22" i="5"/>
  <c r="D22" i="5"/>
  <c r="C22" i="5"/>
  <c r="G22" i="5"/>
  <c r="G23" i="5"/>
  <c r="I23" i="5"/>
  <c r="D20" i="6"/>
  <c r="H23" i="5"/>
  <c r="C20" i="6"/>
  <c r="I22" i="5"/>
  <c r="D19" i="6"/>
  <c r="H22" i="5"/>
  <c r="C19" i="6"/>
  <c r="G77" i="5"/>
  <c r="G76" i="5"/>
  <c r="G75" i="5"/>
  <c r="G74" i="5"/>
  <c r="C63" i="5"/>
  <c r="D63" i="5"/>
  <c r="E63" i="5"/>
  <c r="F63" i="5"/>
  <c r="C64" i="5"/>
  <c r="D64" i="5"/>
  <c r="E64" i="5"/>
  <c r="F64" i="5"/>
  <c r="C65" i="5"/>
  <c r="D65" i="5"/>
  <c r="E65" i="5"/>
  <c r="F65" i="5"/>
  <c r="I64" i="5"/>
  <c r="D59" i="6"/>
  <c r="H64" i="5"/>
  <c r="C59" i="6"/>
  <c r="G64" i="5"/>
  <c r="C68" i="5"/>
  <c r="D68" i="5"/>
  <c r="E68" i="5"/>
  <c r="F68" i="5"/>
  <c r="C67" i="5"/>
  <c r="D67" i="5"/>
  <c r="E67" i="5"/>
  <c r="F67" i="5"/>
  <c r="F66" i="5"/>
  <c r="E66" i="5"/>
  <c r="D66" i="5"/>
  <c r="C66" i="5"/>
  <c r="F21" i="5"/>
  <c r="F20" i="5"/>
  <c r="E21" i="5"/>
  <c r="E20" i="5"/>
  <c r="D21" i="5"/>
  <c r="D20" i="5"/>
  <c r="C21" i="5"/>
  <c r="C20" i="5"/>
  <c r="C69" i="5"/>
  <c r="C70" i="5"/>
  <c r="F40" i="5"/>
  <c r="E40" i="5"/>
  <c r="D40" i="5"/>
  <c r="C40" i="5"/>
  <c r="F39" i="5"/>
  <c r="E39" i="5"/>
  <c r="D39" i="5"/>
  <c r="C39" i="5"/>
  <c r="F38" i="5"/>
  <c r="E38" i="5"/>
  <c r="D38" i="5"/>
  <c r="C38" i="5"/>
  <c r="F37" i="5"/>
  <c r="E37" i="5"/>
  <c r="D37" i="5"/>
  <c r="C37" i="5"/>
  <c r="F16" i="5"/>
  <c r="E16" i="5"/>
  <c r="D16" i="5"/>
  <c r="C16" i="5"/>
  <c r="F15" i="5"/>
  <c r="E15" i="5"/>
  <c r="D15" i="5"/>
  <c r="C15" i="5"/>
  <c r="D69" i="5"/>
  <c r="E69" i="5"/>
  <c r="F69" i="5"/>
  <c r="D70" i="5"/>
  <c r="E70" i="5"/>
  <c r="F70" i="5"/>
  <c r="F73" i="5"/>
  <c r="E73" i="5"/>
  <c r="D73" i="5"/>
  <c r="C73" i="5"/>
  <c r="H76" i="5"/>
  <c r="G73" i="5"/>
  <c r="G70" i="5"/>
  <c r="G69" i="5"/>
  <c r="F58" i="5"/>
  <c r="E58" i="5"/>
  <c r="D58" i="5"/>
  <c r="C58" i="5"/>
  <c r="F57" i="5"/>
  <c r="E57" i="5"/>
  <c r="D57" i="5"/>
  <c r="C57" i="5"/>
  <c r="F51" i="5"/>
  <c r="E51" i="5"/>
  <c r="D51" i="5"/>
  <c r="C51" i="5"/>
  <c r="F52" i="5"/>
  <c r="E52" i="5"/>
  <c r="D52" i="5"/>
  <c r="C52" i="5"/>
  <c r="F50" i="5"/>
  <c r="E50" i="5"/>
  <c r="D50" i="5"/>
  <c r="C50" i="5"/>
  <c r="D62" i="6"/>
  <c r="C62" i="6"/>
  <c r="I67" i="5"/>
  <c r="H67" i="5"/>
  <c r="G67" i="5"/>
  <c r="C12" i="5"/>
  <c r="I83" i="5"/>
  <c r="H83" i="5"/>
  <c r="G83" i="5"/>
  <c r="I82" i="5"/>
  <c r="H82" i="5"/>
  <c r="G82" i="5"/>
  <c r="I81" i="5"/>
  <c r="H81" i="5"/>
  <c r="G81" i="5"/>
  <c r="I80" i="5"/>
  <c r="H80" i="5"/>
  <c r="G80" i="5"/>
  <c r="I77" i="5"/>
  <c r="H77" i="5"/>
  <c r="C87" i="6"/>
  <c r="I76" i="5"/>
  <c r="C86" i="6"/>
  <c r="I75" i="5"/>
  <c r="H75" i="5"/>
  <c r="C85" i="6"/>
  <c r="I74" i="5"/>
  <c r="H74" i="5"/>
  <c r="C84" i="6"/>
  <c r="I73" i="5"/>
  <c r="H73" i="5"/>
  <c r="C83" i="6"/>
  <c r="F71" i="5"/>
  <c r="E71" i="5"/>
  <c r="D71" i="5"/>
  <c r="C71" i="5"/>
  <c r="I68" i="5"/>
  <c r="H68" i="5"/>
  <c r="G68" i="5"/>
  <c r="I66" i="5"/>
  <c r="D61" i="6"/>
  <c r="H66" i="5"/>
  <c r="C61" i="6"/>
  <c r="G66" i="5"/>
  <c r="I65" i="5"/>
  <c r="D60" i="6"/>
  <c r="H65" i="5"/>
  <c r="C60" i="6"/>
  <c r="G65" i="5"/>
  <c r="I63" i="5"/>
  <c r="D58" i="6"/>
  <c r="H63" i="5"/>
  <c r="C58" i="6"/>
  <c r="G63" i="5"/>
  <c r="F56" i="5"/>
  <c r="E56" i="5"/>
  <c r="D56" i="5"/>
  <c r="C56" i="5"/>
  <c r="F55" i="5"/>
  <c r="E55" i="5"/>
  <c r="D55" i="5"/>
  <c r="C55" i="5"/>
  <c r="F54" i="5"/>
  <c r="E54" i="5"/>
  <c r="D54" i="5"/>
  <c r="C54" i="5"/>
  <c r="F53" i="5"/>
  <c r="E53" i="5"/>
  <c r="D53" i="5"/>
  <c r="C53" i="5"/>
  <c r="F49" i="5"/>
  <c r="E49" i="5"/>
  <c r="D49" i="5"/>
  <c r="C49" i="5"/>
  <c r="F48" i="5"/>
  <c r="E48" i="5"/>
  <c r="D48" i="5"/>
  <c r="C48" i="5"/>
  <c r="F47" i="5"/>
  <c r="E47" i="5"/>
  <c r="D47" i="5"/>
  <c r="C47" i="5"/>
  <c r="F33" i="5"/>
  <c r="E33" i="5"/>
  <c r="D33" i="5"/>
  <c r="C33" i="5"/>
  <c r="F32" i="5"/>
  <c r="E32" i="5"/>
  <c r="D32" i="5"/>
  <c r="C32" i="5"/>
  <c r="F31" i="5"/>
  <c r="E31" i="5"/>
  <c r="D31" i="5"/>
  <c r="C31" i="5"/>
  <c r="F30" i="5"/>
  <c r="E30" i="5"/>
  <c r="D30" i="5"/>
  <c r="C30" i="5"/>
  <c r="F29" i="5"/>
  <c r="E29" i="5"/>
  <c r="D29" i="5"/>
  <c r="C29" i="5"/>
  <c r="F26" i="5"/>
  <c r="E26" i="5"/>
  <c r="D26" i="5"/>
  <c r="C26" i="5"/>
  <c r="F25" i="5"/>
  <c r="E25" i="5"/>
  <c r="D25" i="5"/>
  <c r="C25" i="5"/>
  <c r="F24" i="5"/>
  <c r="E24" i="5"/>
  <c r="D24" i="5"/>
  <c r="C24" i="5"/>
  <c r="F19" i="5"/>
  <c r="E19" i="5"/>
  <c r="D19" i="5"/>
  <c r="C19" i="5"/>
  <c r="F18" i="5"/>
  <c r="E18" i="5"/>
  <c r="D18" i="5"/>
  <c r="C18" i="5"/>
  <c r="F17" i="5"/>
  <c r="E17" i="5"/>
  <c r="D17" i="5"/>
  <c r="C17" i="5"/>
  <c r="F14" i="5"/>
  <c r="E14" i="5"/>
  <c r="D14" i="5"/>
  <c r="C14" i="5"/>
  <c r="F13" i="5"/>
  <c r="E13" i="5"/>
  <c r="D13" i="5"/>
  <c r="C13" i="5"/>
  <c r="F12" i="5"/>
  <c r="E12" i="5"/>
  <c r="D12" i="5"/>
  <c r="G71" i="5"/>
  <c r="I29" i="5"/>
  <c r="D27" i="6"/>
  <c r="H47" i="5"/>
  <c r="C42" i="6"/>
  <c r="I49" i="5"/>
  <c r="D44" i="6"/>
  <c r="I55" i="5"/>
  <c r="D50" i="6"/>
  <c r="H56" i="5"/>
  <c r="C51" i="6"/>
  <c r="H70" i="5"/>
  <c r="C71" i="6"/>
  <c r="C72" i="6"/>
  <c r="H57" i="5"/>
  <c r="C52" i="6"/>
  <c r="H12" i="5"/>
  <c r="C9" i="6"/>
  <c r="E34" i="5"/>
  <c r="D41" i="5"/>
  <c r="H13" i="5"/>
  <c r="C10" i="6"/>
  <c r="H33" i="5"/>
  <c r="C31" i="6"/>
  <c r="I14" i="5"/>
  <c r="D11" i="6"/>
  <c r="H16" i="5"/>
  <c r="C13" i="6"/>
  <c r="H20" i="5"/>
  <c r="C17" i="6"/>
  <c r="I32" i="5"/>
  <c r="D30" i="6"/>
  <c r="C41" i="5"/>
  <c r="I39" i="5"/>
  <c r="D37" i="6"/>
  <c r="I24" i="5"/>
  <c r="D21" i="6"/>
  <c r="G21" i="5"/>
  <c r="G25" i="5"/>
  <c r="G32" i="5"/>
  <c r="I33" i="5"/>
  <c r="D31" i="6"/>
  <c r="H48" i="5"/>
  <c r="C43" i="6"/>
  <c r="G55" i="5"/>
  <c r="I69" i="5"/>
  <c r="D67" i="6"/>
  <c r="I71" i="5"/>
  <c r="G50" i="5"/>
  <c r="I52" i="5"/>
  <c r="D47" i="6"/>
  <c r="I18" i="5"/>
  <c r="D15" i="6"/>
  <c r="H39" i="5"/>
  <c r="C37" i="6"/>
  <c r="H50" i="5"/>
  <c r="C45" i="6"/>
  <c r="H52" i="5"/>
  <c r="C47" i="6"/>
  <c r="I54" i="5"/>
  <c r="D49" i="6"/>
  <c r="G12" i="5"/>
  <c r="H25" i="5"/>
  <c r="C22" i="6"/>
  <c r="H29" i="5"/>
  <c r="C27" i="6"/>
  <c r="I31" i="5"/>
  <c r="D29" i="6"/>
  <c r="E41" i="5"/>
  <c r="I56" i="5"/>
  <c r="D51" i="6"/>
  <c r="H69" i="5"/>
  <c r="C67" i="6"/>
  <c r="H19" i="5"/>
  <c r="C16" i="6"/>
  <c r="I12" i="5"/>
  <c r="D9" i="6"/>
  <c r="H21" i="5"/>
  <c r="C18" i="6"/>
  <c r="G33" i="5"/>
  <c r="F41" i="5"/>
  <c r="H49" i="5"/>
  <c r="C44" i="6"/>
  <c r="H54" i="5"/>
  <c r="C49" i="6"/>
  <c r="I57" i="5"/>
  <c r="D52" i="6"/>
  <c r="H71" i="5"/>
  <c r="C77" i="6"/>
  <c r="C78" i="6"/>
  <c r="I21" i="5"/>
  <c r="D18" i="6"/>
  <c r="G13" i="5"/>
  <c r="I40" i="5"/>
  <c r="D38" i="6"/>
  <c r="G47" i="5"/>
  <c r="H51" i="5"/>
  <c r="C46" i="6"/>
  <c r="I53" i="5"/>
  <c r="D48" i="6"/>
  <c r="H55" i="5"/>
  <c r="C50" i="6"/>
  <c r="G58" i="5"/>
  <c r="I13" i="5"/>
  <c r="D10" i="6"/>
  <c r="G15" i="5"/>
  <c r="I17" i="5"/>
  <c r="D14" i="6"/>
  <c r="G20" i="5"/>
  <c r="H26" i="5"/>
  <c r="C23" i="6"/>
  <c r="I30" i="5"/>
  <c r="D28" i="6"/>
  <c r="H32" i="5"/>
  <c r="C30" i="6"/>
  <c r="I47" i="5"/>
  <c r="D42" i="6"/>
  <c r="H58" i="5"/>
  <c r="C53" i="6"/>
  <c r="I70" i="5"/>
  <c r="H24" i="5"/>
  <c r="C21" i="6"/>
  <c r="F34" i="5"/>
  <c r="H31" i="5"/>
  <c r="C29" i="6"/>
  <c r="H38" i="5"/>
  <c r="C36" i="6"/>
  <c r="H15" i="5"/>
  <c r="C12" i="6"/>
  <c r="H17" i="5"/>
  <c r="C14" i="6"/>
  <c r="I19" i="5"/>
  <c r="D16" i="6"/>
  <c r="I20" i="5"/>
  <c r="D17" i="6"/>
  <c r="I48" i="5"/>
  <c r="D43" i="6"/>
  <c r="G53" i="5"/>
  <c r="G14" i="5"/>
  <c r="I16" i="5"/>
  <c r="D13" i="6"/>
  <c r="G24" i="5"/>
  <c r="I26" i="5"/>
  <c r="D23" i="6"/>
  <c r="H37" i="5"/>
  <c r="C35" i="6"/>
  <c r="I38" i="5"/>
  <c r="D36" i="6"/>
  <c r="G49" i="5"/>
  <c r="I51" i="5"/>
  <c r="D46" i="6"/>
  <c r="G57" i="5"/>
  <c r="H14" i="5"/>
  <c r="C11" i="6"/>
  <c r="I15" i="5"/>
  <c r="D12" i="6"/>
  <c r="I25" i="5"/>
  <c r="D22" i="6"/>
  <c r="I37" i="5"/>
  <c r="D35" i="6"/>
  <c r="G48" i="5"/>
  <c r="I50" i="5"/>
  <c r="D45" i="6"/>
  <c r="G56" i="5"/>
  <c r="I58" i="5"/>
  <c r="D53" i="6"/>
  <c r="G19" i="5"/>
  <c r="G31" i="5"/>
  <c r="G54" i="5"/>
  <c r="G18" i="5"/>
  <c r="G30" i="5"/>
  <c r="C34" i="5"/>
  <c r="G40" i="5"/>
  <c r="G17" i="5"/>
  <c r="H18" i="5"/>
  <c r="C15" i="6"/>
  <c r="G29" i="5"/>
  <c r="H30" i="5"/>
  <c r="C28" i="6"/>
  <c r="D34" i="5"/>
  <c r="G39" i="5"/>
  <c r="H40" i="5"/>
  <c r="C38" i="6"/>
  <c r="G52" i="5"/>
  <c r="H53" i="5"/>
  <c r="C48" i="6"/>
  <c r="G16" i="5"/>
  <c r="G26" i="5"/>
  <c r="G38" i="5"/>
  <c r="G51" i="5"/>
  <c r="G37" i="5"/>
  <c r="I41" i="5"/>
  <c r="H41" i="5"/>
  <c r="G34" i="5"/>
  <c r="I34" i="5"/>
  <c r="H34" i="5"/>
  <c r="G41" i="5"/>
</calcChain>
</file>

<file path=xl/sharedStrings.xml><?xml version="1.0" encoding="utf-8"?>
<sst xmlns="http://schemas.openxmlformats.org/spreadsheetml/2006/main" count="1085" uniqueCount="454">
  <si>
    <t>COMO USAR AS PLANILHAS EXCEL</t>
  </si>
  <si>
    <t>COMO ANALISAR OS DADOS</t>
  </si>
  <si>
    <t>COMO ENVIAR OS DADOS</t>
  </si>
  <si>
    <t>Como exemplo, se foi realizado um mergulho na Laje do Sancho no dia 9 de novembro de 2010, a 5 m, então haverá 4 arquivos a preencher:</t>
  </si>
  <si>
    <t>Laje do Sancho_9-11-10_sítio             Laje do Sancho_9-11-10_faixa</t>
  </si>
  <si>
    <t>Laje do Sancho_9-11-10_PIT              Laje do Sancho_9-11-10_corais</t>
  </si>
  <si>
    <r>
      <t>2. Envie os dados para</t>
    </r>
    <r>
      <rPr>
        <sz val="12"/>
        <color indexed="12"/>
        <rFont val="Arial"/>
        <family val="2"/>
      </rPr>
      <t xml:space="preserve"> reefcheckbrasil@gmail.com</t>
    </r>
  </si>
  <si>
    <t>COMO INTERPRETAR OS GRÁFICOS</t>
  </si>
  <si>
    <t>Os gráficos mostram a abundância de várias espécies indicadoras ou impactos no ambiente recifal. As barras em cada coluna são chamadas “barras de erro” e representam o erro padrão (EP). O EP indica o grau com que os nossos dados representam no mundo real (a acurácia da nossa média amostral na estimativa da média da população). Se o EP for baixo, os dados são precisos e representam a população do local amostrado. Se o EP for alto, os dados não representam bem o ambiente monitorado. Para aumentar a precisão, e diminuir o EP, mais transectos devem ser realizados.</t>
  </si>
  <si>
    <t>Quando essas barras de erro se sobrepõem entre si, significa que as diferenças na abundância das espécies ou impactos não são estatisticamente significantes (independentemente de quanto as médias são diferentes). Onde as barras de erros não se sobrepõem, as diferenças na abundância PODEM ser significativamente diferentes.</t>
  </si>
  <si>
    <t>Caso seja importante determinar se as diferenças são estatisticamente diferentes, é necessário utilizar testes estatísticos, por exemplo Teste t ou ANOVA para dados com distribuição normal, e testes não paramétricos Kruskal-Wallis ou o Teste U de Mann-Whitney para dados com distribuições não normais.</t>
  </si>
  <si>
    <t>Publicações úteis:</t>
  </si>
  <si>
    <t>Para ANOVAs "Experiments in ecology: their logical design and interpretation using analysis of variance" por A. J. Underwood, 1997, Cambridge University Press.</t>
  </si>
  <si>
    <t>Para estatística geral "Experimental Design and Data Analysis for Biologists", por G. P. Quinn e M. J. Keough, 2002, Cambridge University Press.</t>
  </si>
  <si>
    <t>Sítio:</t>
  </si>
  <si>
    <t xml:space="preserve">Região: </t>
  </si>
  <si>
    <t>Profundidade:</t>
  </si>
  <si>
    <t>Data:</t>
  </si>
  <si>
    <t>Líder da equipe:</t>
  </si>
  <si>
    <t>Dados registrados por (nome completo):</t>
  </si>
  <si>
    <t>PEIXES</t>
  </si>
  <si>
    <t>A</t>
  </si>
  <si>
    <t>B</t>
  </si>
  <si>
    <t>C</t>
  </si>
  <si>
    <t>D</t>
  </si>
  <si>
    <t>Total</t>
  </si>
  <si>
    <t>Média</t>
  </si>
  <si>
    <t>DP</t>
  </si>
  <si>
    <t>Borboletas (Chaetodontidae)</t>
  </si>
  <si>
    <t>Cirurgiões &gt; 20 cm (Acanthuridae)</t>
  </si>
  <si>
    <t>Cirurgiões ≤ 20 cm (Acanthuridae)</t>
  </si>
  <si>
    <r>
      <t>Mero (</t>
    </r>
    <r>
      <rPr>
        <b/>
        <i/>
        <sz val="10"/>
        <rFont val="Arial"/>
        <family val="2"/>
      </rPr>
      <t>E. itajara</t>
    </r>
    <r>
      <rPr>
        <b/>
        <sz val="10"/>
        <rFont val="Arial"/>
        <family val="2"/>
      </rPr>
      <t>)</t>
    </r>
  </si>
  <si>
    <t>Móreias</t>
  </si>
  <si>
    <t>Ornamentais</t>
  </si>
  <si>
    <t>Vermelhos</t>
  </si>
  <si>
    <t>Xiras &gt; 10 cm (Haemulidae)</t>
  </si>
  <si>
    <r>
      <t xml:space="preserve">Xiras </t>
    </r>
    <r>
      <rPr>
        <b/>
        <sz val="10"/>
        <rFont val="Calibri"/>
        <family val="2"/>
      </rPr>
      <t xml:space="preserve">≤ </t>
    </r>
    <r>
      <rPr>
        <b/>
        <sz val="10"/>
        <rFont val="Arial"/>
        <family val="2"/>
      </rPr>
      <t>10 cm (Haemulidae)</t>
    </r>
  </si>
  <si>
    <t>Mero</t>
  </si>
  <si>
    <t>Mero 20-30 cm</t>
  </si>
  <si>
    <t>Mero 30-40 cm</t>
  </si>
  <si>
    <t>Mero 40-50 cm</t>
  </si>
  <si>
    <t>Mero 50-60 cm</t>
  </si>
  <si>
    <t>Mero &gt;60 cm</t>
  </si>
  <si>
    <t>INVERTEBRADOS</t>
  </si>
  <si>
    <t>Anêmona</t>
  </si>
  <si>
    <t>Estrela-do-mar</t>
  </si>
  <si>
    <t>Gorgônia</t>
  </si>
  <si>
    <t>Lagosta</t>
  </si>
  <si>
    <t>Ouriço branco</t>
  </si>
  <si>
    <t>Ouriço comum (nº médio ind.m-2)</t>
  </si>
  <si>
    <t>Ouriço diadema</t>
  </si>
  <si>
    <t>Ouriço satélite</t>
  </si>
  <si>
    <t>Poliqueta de fogo</t>
  </si>
  <si>
    <t>Polvo</t>
  </si>
  <si>
    <t>Coral quebrado (âncora/remo)</t>
  </si>
  <si>
    <t>Coral quebrado (outro)</t>
  </si>
  <si>
    <t>Lixo (pesca)</t>
  </si>
  <si>
    <t>Lixo (outros)</t>
  </si>
  <si>
    <t>Coral (% de cobertura)</t>
  </si>
  <si>
    <t>Branqueamento (% da população)*</t>
  </si>
  <si>
    <t>Branqueamento (% da colônia)</t>
  </si>
  <si>
    <t>Banda Negra</t>
  </si>
  <si>
    <t>Mancha Escura</t>
  </si>
  <si>
    <t>Praga Branca</t>
  </si>
  <si>
    <t>Faixa amarela</t>
  </si>
  <si>
    <t>Animais raros (#/tipo/tamanho)</t>
  </si>
  <si>
    <t>Raias</t>
  </si>
  <si>
    <t>Tubarões</t>
  </si>
  <si>
    <t>Tartarugas</t>
  </si>
  <si>
    <t>Outros</t>
  </si>
  <si>
    <t xml:space="preserve">Comentários: </t>
  </si>
  <si>
    <t>PROSSEGUIR PARA PLANILHA GRÁFICOS</t>
  </si>
  <si>
    <t>Gráficos do Reef Check Brasil</t>
  </si>
  <si>
    <t>Dados do Reef Check Brasil</t>
  </si>
  <si>
    <t>Peixe</t>
  </si>
  <si>
    <t>EP</t>
  </si>
  <si>
    <t>Borboletas</t>
  </si>
  <si>
    <t>Cirurgiões &gt; 20 cm</t>
  </si>
  <si>
    <t>Cirurgiões ≤ 20 cm</t>
  </si>
  <si>
    <t>Papagaios &gt; 20 cm</t>
  </si>
  <si>
    <t>Papagaios ≤ 20 cm</t>
  </si>
  <si>
    <t>Xiras &gt; 10 cm</t>
  </si>
  <si>
    <r>
      <t xml:space="preserve">Xiras </t>
    </r>
    <r>
      <rPr>
        <b/>
        <sz val="10"/>
        <rFont val="Calibri"/>
        <family val="2"/>
      </rPr>
      <t xml:space="preserve">≤ </t>
    </r>
    <r>
      <rPr>
        <b/>
        <sz val="10"/>
        <rFont val="Arial"/>
        <family val="2"/>
      </rPr>
      <t>10 cm</t>
    </r>
  </si>
  <si>
    <t>Mero (cm)</t>
  </si>
  <si>
    <t>20-30</t>
  </si>
  <si>
    <t>30-40</t>
  </si>
  <si>
    <t>40-50</t>
  </si>
  <si>
    <t>50-60</t>
  </si>
  <si>
    <t>&gt;60</t>
  </si>
  <si>
    <t>Invertebrados</t>
  </si>
  <si>
    <t>Impactos</t>
  </si>
  <si>
    <t>Coral  % cobertura</t>
  </si>
  <si>
    <t>Média %</t>
  </si>
  <si>
    <t>% Coral</t>
  </si>
  <si>
    <t>Branqueamento % pop</t>
  </si>
  <si>
    <t>% Branqueado</t>
  </si>
  <si>
    <t>% Não Branqueado</t>
  </si>
  <si>
    <t>Branqueamento % da colônia</t>
  </si>
  <si>
    <t>Doença de coral %</t>
  </si>
  <si>
    <t>% Banda Negra</t>
  </si>
  <si>
    <t>% Mancha Escura</t>
  </si>
  <si>
    <t>% Praga Branca</t>
  </si>
  <si>
    <t>% Faixa amarela</t>
  </si>
  <si>
    <t>sem registro</t>
  </si>
  <si>
    <t>Espécies:</t>
  </si>
  <si>
    <t>novo registro</t>
  </si>
  <si>
    <t>não identificada</t>
  </si>
  <si>
    <t xml:space="preserve">Em caso de ser registrada uma espécie não descrita aqui, </t>
  </si>
  <si>
    <t>Enchelycore carychroa</t>
  </si>
  <si>
    <t>Lutjanus alexandrei</t>
  </si>
  <si>
    <t>Classes peixes indicadores</t>
  </si>
  <si>
    <t>Abudefduf saxatilis</t>
  </si>
  <si>
    <t>Gymnothorax funebris</t>
  </si>
  <si>
    <t>Lutjanus analis</t>
  </si>
  <si>
    <t>Acanthostracion polygonius</t>
  </si>
  <si>
    <t>Gymnothorax miliaris</t>
  </si>
  <si>
    <t>Lutjanus cyanopterus</t>
  </si>
  <si>
    <t>Acanthostracion quadricornis</t>
  </si>
  <si>
    <t>Gymnothorax moringa</t>
  </si>
  <si>
    <t>Lutjanus jocu</t>
  </si>
  <si>
    <t>Acanthurus bahianus</t>
  </si>
  <si>
    <t>Chaetodon ocellatus</t>
  </si>
  <si>
    <t>Gymnothorax vicinus</t>
  </si>
  <si>
    <t>Lutjanus synagris</t>
  </si>
  <si>
    <t>Acanthurus chirurgus</t>
  </si>
  <si>
    <t>Chaetodon striatus</t>
  </si>
  <si>
    <t>Muraena pavonina</t>
  </si>
  <si>
    <t>Ocyurus chrysurus</t>
  </si>
  <si>
    <t>Acanthurus coeruleus</t>
  </si>
  <si>
    <t>Muraena retifera</t>
  </si>
  <si>
    <t>Xiras ≤ 10 cm</t>
  </si>
  <si>
    <t>Moréias</t>
  </si>
  <si>
    <t>Acanthurus sp</t>
  </si>
  <si>
    <t>Não é indicador</t>
  </si>
  <si>
    <t>Albula vulpes</t>
  </si>
  <si>
    <t>Scarus trispinosus</t>
  </si>
  <si>
    <t>Alphestes afer</t>
  </si>
  <si>
    <t>Bodianus rufus</t>
  </si>
  <si>
    <t>Scarus zelindae</t>
  </si>
  <si>
    <t>SEGMENTO A</t>
  </si>
  <si>
    <t>SEGMENTO B</t>
  </si>
  <si>
    <t>SEGMENTO C</t>
  </si>
  <si>
    <t>SEGMENTO D</t>
  </si>
  <si>
    <t>Aluterus scriptus</t>
  </si>
  <si>
    <t>Elacatinus figaro</t>
  </si>
  <si>
    <t>Sparisoma amplum</t>
  </si>
  <si>
    <t>Indicadores</t>
  </si>
  <si>
    <t>Espécie</t>
  </si>
  <si>
    <t>Número</t>
  </si>
  <si>
    <t>Amblycirrhitus pinos</t>
  </si>
  <si>
    <t>Elacatinus phthirophagus</t>
  </si>
  <si>
    <t>Sparisoma axillare</t>
  </si>
  <si>
    <t>Anisotremus moricandi</t>
  </si>
  <si>
    <t>Gramma brasiliensis</t>
  </si>
  <si>
    <t>Sparisoma frondosum</t>
  </si>
  <si>
    <t>Haemulon squamipinna</t>
  </si>
  <si>
    <t>Anisotremus surinamensis</t>
  </si>
  <si>
    <t>Holacanthus ciliaris</t>
  </si>
  <si>
    <t>Sparisoma radians</t>
  </si>
  <si>
    <t>Haemulon aurolineatum</t>
  </si>
  <si>
    <t>Anisotremus virginicus</t>
  </si>
  <si>
    <t>Cephalopholis fulva</t>
  </si>
  <si>
    <t>Microspathodon chrysurus</t>
  </si>
  <si>
    <t>Sparisoma sp</t>
  </si>
  <si>
    <t>Apogon americanus</t>
  </si>
  <si>
    <t>Cephalopholis furcifer</t>
  </si>
  <si>
    <t>Pomacanthus arcuatus</t>
  </si>
  <si>
    <t>Archosargus rhomboidalis</t>
  </si>
  <si>
    <t>Dermatolepis inermis</t>
  </si>
  <si>
    <t>Pomacanthus paru</t>
  </si>
  <si>
    <t>Aulostomus maculatus</t>
  </si>
  <si>
    <t>Epinephelus adscencionis</t>
  </si>
  <si>
    <t>Balistes vetula</t>
  </si>
  <si>
    <t>Epinephelus morio</t>
  </si>
  <si>
    <t>Haemulon parra</t>
  </si>
  <si>
    <t>Menophorus dubius</t>
  </si>
  <si>
    <t>Dasyatis americana</t>
  </si>
  <si>
    <t>Bothus lunatus</t>
  </si>
  <si>
    <t>Mycteroperca bonaci</t>
  </si>
  <si>
    <t>Dasyatis marianae</t>
  </si>
  <si>
    <t>Calamus penna</t>
  </si>
  <si>
    <t>Mycteroperca interstitialis</t>
  </si>
  <si>
    <t>Haemulon chrysargyreum</t>
  </si>
  <si>
    <t>Cantherhines macrocerus</t>
  </si>
  <si>
    <t>Cantherhines pullus</t>
  </si>
  <si>
    <t>Ginglymostoma cirratum</t>
  </si>
  <si>
    <t>Haemulon plumieri</t>
  </si>
  <si>
    <t>Canthidermis sufflamen</t>
  </si>
  <si>
    <t>Epinephelus itajara</t>
  </si>
  <si>
    <t>Negaprion brevirostris</t>
  </si>
  <si>
    <t>Canthigaster figueiredoi</t>
  </si>
  <si>
    <t>Carangoides bartholomaei</t>
  </si>
  <si>
    <t>Halichoeres penrosei</t>
  </si>
  <si>
    <t>Caranx crysos</t>
  </si>
  <si>
    <t>Não indicadores</t>
  </si>
  <si>
    <t>Caranx hippos</t>
  </si>
  <si>
    <t>Caranx latus</t>
  </si>
  <si>
    <t>Echeneis naucrates</t>
  </si>
  <si>
    <t>Ogcocephalus vespertilio</t>
  </si>
  <si>
    <t>Caranx lugubris</t>
  </si>
  <si>
    <t xml:space="preserve"> Enneanectes altivelis</t>
  </si>
  <si>
    <t>Ophioblennius trinitatis</t>
  </si>
  <si>
    <t>Caranx ruber</t>
  </si>
  <si>
    <t>Emblemariopsis signifera</t>
  </si>
  <si>
    <t>Parablennius sp</t>
  </si>
  <si>
    <t>Caranx sp</t>
  </si>
  <si>
    <t>Eucinostomus sp</t>
  </si>
  <si>
    <t>Pareques acuminatus</t>
  </si>
  <si>
    <t>Gnatholepis thompsoni</t>
  </si>
  <si>
    <t>Pempheris schomburgki</t>
  </si>
  <si>
    <t>Gobiosoma sp</t>
  </si>
  <si>
    <t>Platybelone argalus</t>
  </si>
  <si>
    <t>Chaetodipterus faber</t>
  </si>
  <si>
    <t>Halichoeres brasiliensis</t>
  </si>
  <si>
    <t>Priacanthus arenatus</t>
  </si>
  <si>
    <t>Halichoeres poeyi</t>
  </si>
  <si>
    <t>Halichoeres dimidiatus</t>
  </si>
  <si>
    <t>Priolepis dawnsoni</t>
  </si>
  <si>
    <t>Pseudocaranx dentex</t>
  </si>
  <si>
    <t>Chloroscombrus chrysurus</t>
  </si>
  <si>
    <t>Pseudupeneus maculatus</t>
  </si>
  <si>
    <t>Chromis multilineata</t>
  </si>
  <si>
    <t>Halichoeres radiatus</t>
  </si>
  <si>
    <t>Rypticus saponaceus</t>
  </si>
  <si>
    <t>Coryphopterus glaucofraenum</t>
  </si>
  <si>
    <t>Halichoeres sp</t>
  </si>
  <si>
    <t>Scartella cristata</t>
  </si>
  <si>
    <t>Stegastes fuscus</t>
  </si>
  <si>
    <t>Cryptotomus roseus</t>
  </si>
  <si>
    <t>Heteropriacanthus cruentatus</t>
  </si>
  <si>
    <t>Scomberomorus brasiliensis</t>
  </si>
  <si>
    <t>Stegastes variabilis</t>
  </si>
  <si>
    <t>Holocentrus adscensionis</t>
  </si>
  <si>
    <t>Scorpaena brasiliensis</t>
  </si>
  <si>
    <t>Kyphosus sp</t>
  </si>
  <si>
    <t>Scorpaena plumieri</t>
  </si>
  <si>
    <t>Labrisomus kalisherae</t>
  </si>
  <si>
    <t>Selene vomer</t>
  </si>
  <si>
    <t>Diodon holacanthus</t>
  </si>
  <si>
    <t>Caranx bartholomaei</t>
  </si>
  <si>
    <t>Labrisomus nuchipinnis</t>
  </si>
  <si>
    <t>Diodon hystrix</t>
  </si>
  <si>
    <t>Labrisomus sp</t>
  </si>
  <si>
    <t>Serranus flaviventris</t>
  </si>
  <si>
    <t>Lactophrys trigonus</t>
  </si>
  <si>
    <t>Sphoeroides spengleri</t>
  </si>
  <si>
    <t>Lythrypnus sp</t>
  </si>
  <si>
    <t>Sphyraena barracuda</t>
  </si>
  <si>
    <t>Malacanthus plumieri</t>
  </si>
  <si>
    <t>Starksia sp</t>
  </si>
  <si>
    <t>Malacoctenus delalandii</t>
  </si>
  <si>
    <t>Malacoctenus sp</t>
  </si>
  <si>
    <t>Stegastes pictus</t>
  </si>
  <si>
    <t>Enneanectes altivelis</t>
  </si>
  <si>
    <t>Malacoctenus triangulatus</t>
  </si>
  <si>
    <t>Stegastes rocasensis</t>
  </si>
  <si>
    <t>Melichthys niger</t>
  </si>
  <si>
    <t>Stegastes sp</t>
  </si>
  <si>
    <t>Mugil sp</t>
  </si>
  <si>
    <t>Mulloidichthys martinicus</t>
  </si>
  <si>
    <t>Synodus foetens</t>
  </si>
  <si>
    <t>Myrichthys ocellatus</t>
  </si>
  <si>
    <t>Synodus intermedius</t>
  </si>
  <si>
    <t>Myripristis jacobus</t>
  </si>
  <si>
    <t>Synodus sp</t>
  </si>
  <si>
    <t>Odontoscion dentex</t>
  </si>
  <si>
    <t>Synodus synodus</t>
  </si>
  <si>
    <t>Ogcocephalus nasutus</t>
  </si>
  <si>
    <t>Thalassoma noronhanum</t>
  </si>
  <si>
    <t>Observações:</t>
  </si>
  <si>
    <t>Gymnothorax sp</t>
  </si>
  <si>
    <t>Invertebrados indicadores</t>
  </si>
  <si>
    <t>Aplysia dactylomela</t>
  </si>
  <si>
    <t>Ouriço comum</t>
  </si>
  <si>
    <t>Pepino-do-mar</t>
  </si>
  <si>
    <t>Caranguejo</t>
  </si>
  <si>
    <t>Bellactis ilkalyseae</t>
  </si>
  <si>
    <t>Camarão-palhaço</t>
  </si>
  <si>
    <t>Poliqueta-de-fogo</t>
  </si>
  <si>
    <t>Carpilius corallinus</t>
  </si>
  <si>
    <t>Cassis flammea</t>
  </si>
  <si>
    <t>Cassis tuberosa</t>
  </si>
  <si>
    <t>Condylactis gigantea</t>
  </si>
  <si>
    <t>Ouriço Branco</t>
  </si>
  <si>
    <t>Cypraea cinerea</t>
  </si>
  <si>
    <t>Ouriço Comum</t>
  </si>
  <si>
    <t>Diadema antillarum</t>
  </si>
  <si>
    <t>estimativa</t>
  </si>
  <si>
    <t>Ouriço Diadema</t>
  </si>
  <si>
    <t>Echinaster brasiliensis</t>
  </si>
  <si>
    <t>Coral branq (% da pop)</t>
  </si>
  <si>
    <t>Ouriço Satélite</t>
  </si>
  <si>
    <t>Echinometra lucunter</t>
  </si>
  <si>
    <t>Coral branq (% da colônia)</t>
  </si>
  <si>
    <t>Eucidaris tribuloides</t>
  </si>
  <si>
    <t>Muriceopsis sp</t>
  </si>
  <si>
    <t>contagem</t>
  </si>
  <si>
    <t>Hermodice carunculata</t>
  </si>
  <si>
    <t>Muriceopsis sulphurea</t>
  </si>
  <si>
    <t>Holotúria</t>
  </si>
  <si>
    <t>Lebrunia sp</t>
  </si>
  <si>
    <t>Octopus vulgaris</t>
  </si>
  <si>
    <t>Linckia sp</t>
  </si>
  <si>
    <t>Ophioderma sp</t>
  </si>
  <si>
    <t>Panulirus argus</t>
  </si>
  <si>
    <t>Panulirus echinatus</t>
  </si>
  <si>
    <t>Panulirus laevicauda</t>
  </si>
  <si>
    <t>Periclimenes pedersoni</t>
  </si>
  <si>
    <t>Periclimenes yucatanicus</t>
  </si>
  <si>
    <t>Phyllogorgia dilatata</t>
  </si>
  <si>
    <t>Plexaurella dichotoma</t>
  </si>
  <si>
    <t>Plexaurella grandiflora</t>
  </si>
  <si>
    <t>Plexaurella regia</t>
  </si>
  <si>
    <t>Plexaurella sp</t>
  </si>
  <si>
    <t>Scyllarides brasiliensis</t>
  </si>
  <si>
    <t>Stenopus hispidus</t>
  </si>
  <si>
    <t>Stenorhynchus seticornis</t>
  </si>
  <si>
    <t>Thor amboinensis</t>
  </si>
  <si>
    <t>Tripneustes ventricosus</t>
  </si>
  <si>
    <t>Ctenogobius saepepallens</t>
  </si>
  <si>
    <t>Hemiramphus sp</t>
  </si>
  <si>
    <t>Oligoplites sp</t>
  </si>
  <si>
    <t xml:space="preserve">Todas as classes de indicadores devem estar presentes na lista </t>
  </si>
  <si>
    <t xml:space="preserve">de cada segmento. Em caso de não haver registro dessa classe, </t>
  </si>
  <si>
    <r>
      <t>Caranx</t>
    </r>
    <r>
      <rPr>
        <sz val="11"/>
        <rFont val="Calibri"/>
        <family val="2"/>
        <scheme val="minor"/>
      </rPr>
      <t xml:space="preserve"> sp</t>
    </r>
  </si>
  <si>
    <r>
      <t>Eucinostomus</t>
    </r>
    <r>
      <rPr>
        <sz val="11"/>
        <rFont val="Calibri"/>
        <family val="2"/>
        <scheme val="minor"/>
      </rPr>
      <t xml:space="preserve"> sp</t>
    </r>
  </si>
  <si>
    <r>
      <t>Gobiosoma</t>
    </r>
    <r>
      <rPr>
        <sz val="11"/>
        <rFont val="Calibri"/>
        <family val="2"/>
      </rPr>
      <t xml:space="preserve"> sp</t>
    </r>
  </si>
  <si>
    <r>
      <t>Halichoeres</t>
    </r>
    <r>
      <rPr>
        <sz val="11"/>
        <rFont val="Calibri"/>
        <family val="2"/>
        <scheme val="minor"/>
      </rPr>
      <t xml:space="preserve"> sp</t>
    </r>
  </si>
  <si>
    <r>
      <t xml:space="preserve">Hemiramphus </t>
    </r>
    <r>
      <rPr>
        <sz val="11"/>
        <rFont val="Calibri"/>
        <family val="2"/>
        <scheme val="minor"/>
      </rPr>
      <t>sp</t>
    </r>
  </si>
  <si>
    <r>
      <t>Kyphosus</t>
    </r>
    <r>
      <rPr>
        <sz val="11"/>
        <rFont val="Calibri"/>
        <family val="2"/>
      </rPr>
      <t xml:space="preserve"> sp</t>
    </r>
  </si>
  <si>
    <r>
      <t>Labrisomus</t>
    </r>
    <r>
      <rPr>
        <sz val="11"/>
        <rFont val="Calibri"/>
        <family val="2"/>
      </rPr>
      <t xml:space="preserve"> sp</t>
    </r>
  </si>
  <si>
    <r>
      <t>Lythrypnus</t>
    </r>
    <r>
      <rPr>
        <sz val="11"/>
        <rFont val="Calibri"/>
        <family val="2"/>
      </rPr>
      <t xml:space="preserve"> sp</t>
    </r>
  </si>
  <si>
    <r>
      <t>Malacoctenus</t>
    </r>
    <r>
      <rPr>
        <sz val="11"/>
        <rFont val="Calibri"/>
        <family val="2"/>
      </rPr>
      <t xml:space="preserve"> sp</t>
    </r>
  </si>
  <si>
    <r>
      <t>Mugil</t>
    </r>
    <r>
      <rPr>
        <sz val="11"/>
        <rFont val="Calibri"/>
        <family val="2"/>
      </rPr>
      <t xml:space="preserve"> sp</t>
    </r>
  </si>
  <si>
    <r>
      <t>Oligoplites</t>
    </r>
    <r>
      <rPr>
        <sz val="11"/>
        <rFont val="Calibri"/>
        <family val="2"/>
      </rPr>
      <t xml:space="preserve"> sp</t>
    </r>
  </si>
  <si>
    <r>
      <t>Parablennius</t>
    </r>
    <r>
      <rPr>
        <sz val="11"/>
        <rFont val="Calibri"/>
        <family val="2"/>
      </rPr>
      <t xml:space="preserve"> sp</t>
    </r>
  </si>
  <si>
    <r>
      <t>Starksia</t>
    </r>
    <r>
      <rPr>
        <sz val="11"/>
        <rFont val="Calibri"/>
        <family val="2"/>
        <scheme val="minor"/>
      </rPr>
      <t xml:space="preserve"> sp</t>
    </r>
  </si>
  <si>
    <r>
      <t>Stegastes</t>
    </r>
    <r>
      <rPr>
        <sz val="11"/>
        <rFont val="Calibri"/>
        <family val="2"/>
      </rPr>
      <t xml:space="preserve"> sp</t>
    </r>
  </si>
  <si>
    <r>
      <t>Synodus</t>
    </r>
    <r>
      <rPr>
        <sz val="11"/>
        <rFont val="Calibri"/>
        <family val="2"/>
      </rPr>
      <t xml:space="preserve"> sp</t>
    </r>
  </si>
  <si>
    <r>
      <t>Sparisoma</t>
    </r>
    <r>
      <rPr>
        <sz val="11"/>
        <rFont val="Calibri"/>
        <family val="2"/>
      </rPr>
      <t xml:space="preserve"> sp</t>
    </r>
  </si>
  <si>
    <r>
      <t xml:space="preserve">Cassis </t>
    </r>
    <r>
      <rPr>
        <sz val="11"/>
        <rFont val="Calibri"/>
        <family val="2"/>
        <scheme val="minor"/>
      </rPr>
      <t>sp</t>
    </r>
  </si>
  <si>
    <r>
      <t>Ophioderma</t>
    </r>
    <r>
      <rPr>
        <sz val="11"/>
        <rFont val="Calibri"/>
        <family val="2"/>
        <scheme val="minor"/>
      </rPr>
      <t xml:space="preserve"> sp</t>
    </r>
  </si>
  <si>
    <r>
      <t xml:space="preserve">Muriceopsis </t>
    </r>
    <r>
      <rPr>
        <sz val="11"/>
        <rFont val="Calibri"/>
        <family val="2"/>
        <scheme val="minor"/>
      </rPr>
      <t>sp</t>
    </r>
  </si>
  <si>
    <r>
      <t>Plexaurella</t>
    </r>
    <r>
      <rPr>
        <sz val="11"/>
        <rFont val="Calibri"/>
        <family val="2"/>
        <scheme val="minor"/>
      </rPr>
      <t xml:space="preserve"> sp</t>
    </r>
  </si>
  <si>
    <r>
      <t>Panulirus</t>
    </r>
    <r>
      <rPr>
        <sz val="11"/>
        <rFont val="Calibri"/>
        <family val="2"/>
        <scheme val="minor"/>
      </rPr>
      <t xml:space="preserve"> sp</t>
    </r>
  </si>
  <si>
    <r>
      <t>Panulirus</t>
    </r>
    <r>
      <rPr>
        <sz val="11"/>
        <color theme="0"/>
        <rFont val="Calibri"/>
        <family val="2"/>
        <scheme val="minor"/>
      </rPr>
      <t xml:space="preserve"> sp</t>
    </r>
  </si>
  <si>
    <t>Lixo (plástico)</t>
  </si>
  <si>
    <t>Parribacus antarcticus</t>
  </si>
  <si>
    <t>Ouriço roxo</t>
  </si>
  <si>
    <t>Ofiúro</t>
  </si>
  <si>
    <t>Lytechinus variegatus</t>
  </si>
  <si>
    <r>
      <t xml:space="preserve">Lithopoma </t>
    </r>
    <r>
      <rPr>
        <sz val="11"/>
        <rFont val="Calibri"/>
        <family val="2"/>
        <scheme val="minor"/>
      </rPr>
      <t>sp</t>
    </r>
  </si>
  <si>
    <r>
      <t>Lithopoma</t>
    </r>
    <r>
      <rPr>
        <sz val="11"/>
        <color theme="0"/>
        <rFont val="Calibri"/>
        <family val="2"/>
        <scheme val="minor"/>
      </rPr>
      <t xml:space="preserve"> sp</t>
    </r>
  </si>
  <si>
    <r>
      <t>Linckia</t>
    </r>
    <r>
      <rPr>
        <sz val="11"/>
        <rFont val="Calibri"/>
        <family val="2"/>
        <scheme val="minor"/>
      </rPr>
      <t xml:space="preserve"> sp</t>
    </r>
  </si>
  <si>
    <r>
      <t>Lebrunia</t>
    </r>
    <r>
      <rPr>
        <sz val="11"/>
        <rFont val="Calibri"/>
        <family val="2"/>
        <scheme val="minor"/>
      </rPr>
      <t xml:space="preserve"> sp</t>
    </r>
  </si>
  <si>
    <t>Crinóide</t>
  </si>
  <si>
    <t>Aplisia/lesma do mar</t>
  </si>
  <si>
    <t>Micromelo undata</t>
  </si>
  <si>
    <t xml:space="preserve">Outros </t>
  </si>
  <si>
    <t>(não indicadores)</t>
  </si>
  <si>
    <t>Cavaquinha</t>
  </si>
  <si>
    <t>Coral doente (% da pop)</t>
  </si>
  <si>
    <t>Garoupas &gt;30 cm</t>
  </si>
  <si>
    <t>Total garoupas &gt;30 cm</t>
  </si>
  <si>
    <t>Total mero</t>
  </si>
  <si>
    <r>
      <t xml:space="preserve">Garoupas </t>
    </r>
    <r>
      <rPr>
        <b/>
        <sz val="10"/>
        <rFont val="Calibri"/>
        <family val="2"/>
      </rPr>
      <t xml:space="preserve">&gt; </t>
    </r>
    <r>
      <rPr>
        <b/>
        <sz val="10"/>
        <rFont val="Arial"/>
        <family val="2"/>
      </rPr>
      <t>30 cm (Epinephelidae)</t>
    </r>
  </si>
  <si>
    <t>Garoupas ≤ 30 cm (Epinephelidae)</t>
  </si>
  <si>
    <t>Papagaios &gt; 20 cm (Scarinae)</t>
  </si>
  <si>
    <t>Papagaios ≤ 20 cm (Scarinae)</t>
  </si>
  <si>
    <r>
      <t xml:space="preserve">Garoupas </t>
    </r>
    <r>
      <rPr>
        <b/>
        <sz val="10"/>
        <rFont val="Calibri"/>
        <family val="2"/>
      </rPr>
      <t xml:space="preserve">&gt; </t>
    </r>
    <r>
      <rPr>
        <b/>
        <sz val="10"/>
        <rFont val="Arial"/>
        <family val="2"/>
      </rPr>
      <t>30 cm</t>
    </r>
  </si>
  <si>
    <t>Garoupas ≤ 30 cm</t>
  </si>
  <si>
    <t>Vermelhos (Lutjanidae)</t>
  </si>
  <si>
    <t>Garoupas &gt; 30cm</t>
  </si>
  <si>
    <t>Garoupas ≤ 30cm</t>
  </si>
  <si>
    <t>Garoupas (Epinephelidae)</t>
  </si>
  <si>
    <t>Xiras (Haemulidae)</t>
  </si>
  <si>
    <t>Cirurgiões (Acanthuridae)</t>
  </si>
  <si>
    <r>
      <t xml:space="preserve">Acanthurus </t>
    </r>
    <r>
      <rPr>
        <sz val="11"/>
        <rFont val="Calibri"/>
        <family val="2"/>
      </rPr>
      <t>sp</t>
    </r>
  </si>
  <si>
    <t>Seriola dumerili</t>
  </si>
  <si>
    <t>geral (não identificada)</t>
  </si>
  <si>
    <t>Número/%</t>
  </si>
  <si>
    <t>Lagosta-sapata</t>
  </si>
  <si>
    <t>Lirio-do-mar</t>
  </si>
  <si>
    <t>% geral (não identificada)</t>
  </si>
  <si>
    <t>Coral quebrado
(âncora/remo)</t>
  </si>
  <si>
    <r>
      <t>Ouriço comum (n/m</t>
    </r>
    <r>
      <rPr>
        <b/>
        <vertAlign val="superscript"/>
        <sz val="10"/>
        <rFont val="Arial"/>
        <family val="2"/>
      </rPr>
      <t>2</t>
    </r>
    <r>
      <rPr>
        <b/>
        <sz val="10"/>
        <rFont val="Arial"/>
        <family val="2"/>
      </rPr>
      <t>)</t>
    </r>
  </si>
  <si>
    <t>Papagaios (Scarinae)</t>
  </si>
  <si>
    <r>
      <t>Gymnothorax</t>
    </r>
    <r>
      <rPr>
        <sz val="11"/>
        <rFont val="Calibri"/>
        <family val="2"/>
      </rPr>
      <t xml:space="preserve"> sp</t>
    </r>
  </si>
  <si>
    <t>Búzio</t>
  </si>
  <si>
    <t>Bobós, papagaios &gt; 20 cm</t>
  </si>
  <si>
    <t>Bobós, papagaios ≤ 20 cm</t>
  </si>
  <si>
    <t>Garoupas (cm)</t>
  </si>
  <si>
    <t>Garoupas 30-40 cm</t>
  </si>
  <si>
    <t>Garoupas 40-50 cm</t>
  </si>
  <si>
    <t>Garoupas 50-60 cm</t>
  </si>
  <si>
    <t>Garoupas &gt;60 cm</t>
  </si>
  <si>
    <t>Buzio</t>
  </si>
  <si>
    <t>Coral quebrado
 (outros)</t>
  </si>
  <si>
    <t>Horário (inicial e final):</t>
  </si>
  <si>
    <r>
      <t xml:space="preserve">Cassis </t>
    </r>
    <r>
      <rPr>
        <sz val="11"/>
        <color theme="0"/>
        <rFont val="Calibri"/>
        <family val="2"/>
        <scheme val="minor"/>
      </rPr>
      <t>sp</t>
    </r>
  </si>
  <si>
    <t xml:space="preserve">Doença de Coral (% da população)  </t>
  </si>
  <si>
    <t>Impactos: Coral Quebrado/Lixo/Doenças/Branqueamento</t>
  </si>
  <si>
    <t>Coral quebrado (mergulhador)</t>
  </si>
  <si>
    <t>Anêmonas pequenas</t>
  </si>
  <si>
    <t>Coral quebrado
 (mergulhador)</t>
  </si>
  <si>
    <r>
      <t xml:space="preserve">Haemulon </t>
    </r>
    <r>
      <rPr>
        <sz val="11"/>
        <rFont val="Calibri"/>
        <family val="2"/>
      </rPr>
      <t>sp</t>
    </r>
  </si>
  <si>
    <r>
      <t xml:space="preserve">Haemulon </t>
    </r>
    <r>
      <rPr>
        <sz val="11"/>
        <color theme="0"/>
        <rFont val="Calibri"/>
        <family val="2"/>
      </rPr>
      <t>sp</t>
    </r>
  </si>
  <si>
    <t>Carcharhinus perezi</t>
  </si>
  <si>
    <t>Bodianus pulchellus</t>
  </si>
  <si>
    <t>Holacanthus tricolor</t>
  </si>
  <si>
    <t>Para que os dados coletados por uma equipe sejam incorporados ao banco de dados do Reef Check Brasil, e sejam utilizados em relatórios e publicações sobre o estado dos ambientes recifais na costa brasileira, foram adaptadas planilhas excel para os diferentes tipos de indicadores amostrados pelo Reef Check Brasil</t>
  </si>
  <si>
    <t xml:space="preserve">1. Ao inserir os dados, os gráficos são produzidos em simultâneo e automaticamente na folha GRÁFICOS. </t>
  </si>
  <si>
    <r>
      <t xml:space="preserve">2. Somente deverá ser preenchido o nome do sítio monitorado, a data e a profundidade dos transectos substituindo as palavras em </t>
    </r>
    <r>
      <rPr>
        <sz val="12"/>
        <color indexed="12"/>
        <rFont val="Arial"/>
        <family val="2"/>
      </rPr>
      <t xml:space="preserve">azul </t>
    </r>
    <r>
      <rPr>
        <sz val="12"/>
        <rFont val="Arial"/>
        <family val="2"/>
      </rPr>
      <t>no título do gráfico. Depois o texto deverá ser alterado para preto selecionando o botão de cor de texto na barra de ferramentas da fonte.</t>
    </r>
  </si>
  <si>
    <t>3. A página estará pronta para imprimir, e os gráficos desejados poderão ser selecionados e copiados em um documento Word.</t>
  </si>
  <si>
    <t>1. Primeiro nomeie a planilha utilizando o formato padrão:</t>
  </si>
  <si>
    <r>
      <t>Nome do sítio, data (dd-mm-aa) e tipo de censo (</t>
    </r>
    <r>
      <rPr>
        <b/>
        <sz val="12"/>
        <rFont val="Arial"/>
        <family val="2"/>
      </rPr>
      <t>sítio</t>
    </r>
    <r>
      <rPr>
        <sz val="12"/>
        <rFont val="Arial"/>
        <family val="2"/>
      </rPr>
      <t xml:space="preserve">, peixes e invertebrados = </t>
    </r>
    <r>
      <rPr>
        <b/>
        <sz val="12"/>
        <rFont val="Arial"/>
        <family val="2"/>
      </rPr>
      <t>faixa</t>
    </r>
    <r>
      <rPr>
        <sz val="12"/>
        <rFont val="Arial"/>
        <family val="2"/>
      </rPr>
      <t xml:space="preserve">, substrato = </t>
    </r>
    <r>
      <rPr>
        <b/>
        <sz val="12"/>
        <rFont val="Arial"/>
        <family val="2"/>
      </rPr>
      <t>PIT</t>
    </r>
    <r>
      <rPr>
        <sz val="12"/>
        <rFont val="Arial"/>
        <family val="2"/>
      </rPr>
      <t>, e</t>
    </r>
    <r>
      <rPr>
        <b/>
        <sz val="12"/>
        <rFont val="Arial"/>
        <family val="2"/>
      </rPr>
      <t xml:space="preserve"> corais</t>
    </r>
    <r>
      <rPr>
        <sz val="12"/>
        <rFont val="Arial"/>
        <family val="2"/>
      </rPr>
      <t xml:space="preserve">). A planilha de peixes e invertebrados deverá apenas conter o nome do sítio, a data (dd-mm-aa) e terminar com a palavra </t>
    </r>
    <r>
      <rPr>
        <b/>
        <sz val="12"/>
        <rFont val="Arial"/>
        <family val="2"/>
      </rPr>
      <t>faixa</t>
    </r>
    <r>
      <rPr>
        <sz val="12"/>
        <rFont val="Arial"/>
        <family val="2"/>
      </rPr>
      <t>.</t>
    </r>
  </si>
  <si>
    <t xml:space="preserve">Outra medida útil para ajudar a interpretar os dados é o desvio padrão (DP), calculada na folha SUMÁRIO. O DP mostra a amplitude da distribuição das observações em redor da média, ou quão variável as nossas amostras são. No entanto, o desvio padrão não indica a exatidão com que a média da amostra estima a média da população. </t>
  </si>
  <si>
    <t>Para um começo básico, mas muito bom, tente "The Statistical Sleuth - A Course in Methods of Data Analysis", por F. Ramsey e D. Schafer, 2002, Duxbury Press.</t>
  </si>
  <si>
    <t>PREENCHA OS ESPAÇOS EM BRANCO</t>
  </si>
  <si>
    <r>
      <t xml:space="preserve">COMPLETE O TÍTULO DOS GRÁFICOS ONDE ESTÁ INDICADO A </t>
    </r>
    <r>
      <rPr>
        <sz val="10"/>
        <color indexed="48"/>
        <rFont val="Arial"/>
        <family val="2"/>
      </rPr>
      <t>AZUL</t>
    </r>
    <r>
      <rPr>
        <sz val="10"/>
        <color indexed="10"/>
        <rFont val="Arial"/>
        <family val="2"/>
      </rPr>
      <t xml:space="preserve">. PARA ALTERAR O TEXTO PARA PRETO, SELECIONE O TEXTO, CLIQUE NA OPÇÃO </t>
    </r>
    <r>
      <rPr>
        <i/>
        <sz val="10"/>
        <color indexed="10"/>
        <rFont val="Arial"/>
        <family val="2"/>
      </rPr>
      <t>COR DE FONTE</t>
    </r>
    <r>
      <rPr>
        <sz val="10"/>
        <color indexed="10"/>
        <rFont val="Arial"/>
        <family val="2"/>
      </rPr>
      <t xml:space="preserve"> NA BARRA DE FERRAMENTAS </t>
    </r>
    <r>
      <rPr>
        <b/>
        <sz val="10"/>
        <color indexed="10"/>
        <rFont val="Arial"/>
        <family val="2"/>
      </rPr>
      <t>FORMATAR</t>
    </r>
    <r>
      <rPr>
        <sz val="10"/>
        <color indexed="10"/>
        <rFont val="Arial"/>
        <family val="2"/>
      </rPr>
      <t xml:space="preserve"> E SELECIONE PRETO.                                                                                                                                                                                                                        </t>
    </r>
  </si>
  <si>
    <r>
      <t xml:space="preserve">selecione como </t>
    </r>
    <r>
      <rPr>
        <b/>
        <i/>
        <sz val="11"/>
        <color rgb="FFFF0000"/>
        <rFont val="Arial"/>
        <family val="2"/>
      </rPr>
      <t>"novo registro"</t>
    </r>
    <r>
      <rPr>
        <b/>
        <sz val="11"/>
        <color rgb="FFFF0000"/>
        <rFont val="Arial"/>
        <family val="2"/>
      </rPr>
      <t xml:space="preserve"> e adicione o nome em </t>
    </r>
    <r>
      <rPr>
        <b/>
        <i/>
        <sz val="11"/>
        <color rgb="FFFF0000"/>
        <rFont val="Arial"/>
        <family val="2"/>
      </rPr>
      <t>Observações</t>
    </r>
    <r>
      <rPr>
        <b/>
        <sz val="11"/>
        <color rgb="FFFF0000"/>
        <rFont val="Arial"/>
        <family val="2"/>
      </rPr>
      <t>.</t>
    </r>
  </si>
  <si>
    <t xml:space="preserve">Em caso de identificar apenas da classe do indicador, </t>
  </si>
  <si>
    <r>
      <t xml:space="preserve">preencha a coluna </t>
    </r>
    <r>
      <rPr>
        <b/>
        <i/>
        <sz val="11"/>
        <color rgb="FFFF0000"/>
        <rFont val="Arial"/>
        <family val="2"/>
      </rPr>
      <t>Espécie</t>
    </r>
    <r>
      <rPr>
        <b/>
        <sz val="11"/>
        <color rgb="FFFF0000"/>
        <rFont val="Arial"/>
        <family val="2"/>
      </rPr>
      <t xml:space="preserve"> como </t>
    </r>
    <r>
      <rPr>
        <b/>
        <i/>
        <sz val="11"/>
        <color rgb="FFFF0000"/>
        <rFont val="Arial"/>
        <family val="2"/>
      </rPr>
      <t>"não identificada"</t>
    </r>
    <r>
      <rPr>
        <b/>
        <sz val="11"/>
        <color rgb="FFFF0000"/>
        <rFont val="Arial"/>
        <family val="2"/>
      </rPr>
      <t>.</t>
    </r>
  </si>
  <si>
    <t>Comprimento (cm)</t>
  </si>
  <si>
    <r>
      <t xml:space="preserve">Em caso de ser registrada uma espécie não descrita aqui, selecione como </t>
    </r>
    <r>
      <rPr>
        <b/>
        <i/>
        <sz val="11"/>
        <color rgb="FFFF0000"/>
        <rFont val="Arial"/>
        <family val="2"/>
      </rPr>
      <t>"novo registro"</t>
    </r>
    <r>
      <rPr>
        <b/>
        <sz val="11"/>
        <color rgb="FFFF0000"/>
        <rFont val="Arial"/>
        <family val="2"/>
      </rPr>
      <t xml:space="preserve"> e adicione o nome em </t>
    </r>
    <r>
      <rPr>
        <b/>
        <i/>
        <sz val="11"/>
        <color rgb="FFFF0000"/>
        <rFont val="Arial"/>
        <family val="2"/>
      </rPr>
      <t>Observações</t>
    </r>
    <r>
      <rPr>
        <b/>
        <sz val="11"/>
        <color rgb="FFFF0000"/>
        <rFont val="Arial"/>
        <family val="2"/>
      </rPr>
      <t>.</t>
    </r>
  </si>
  <si>
    <r>
      <t xml:space="preserve">Em caso de identificar apenas da classe do indicador, preencha a coluna </t>
    </r>
    <r>
      <rPr>
        <b/>
        <i/>
        <sz val="11"/>
        <color rgb="FFFF0000"/>
        <rFont val="Arial"/>
        <family val="2"/>
      </rPr>
      <t>Espécie</t>
    </r>
    <r>
      <rPr>
        <b/>
        <sz val="11"/>
        <color rgb="FFFF0000"/>
        <rFont val="Arial"/>
        <family val="2"/>
      </rPr>
      <t xml:space="preserve"> como </t>
    </r>
  </si>
  <si>
    <t>"não identificada".</t>
  </si>
  <si>
    <t>*Se estimou a % de CD branqueado na planilha de Substrato (PIT - LINHA 39 da folha SUMÁRIO), copiar os números para o campo Branqueamento (% da população - LINHA 68)</t>
  </si>
  <si>
    <r>
      <t>2. Os dados deverão ser inseridos nas caixas em branco e, para facilitar a sua entrada, foram criadas listas de indicadores e espécies, nas quais é apenas necessário selecionar a opção desejada. Novas ocorrências deverão ser preenchidas como “</t>
    </r>
    <r>
      <rPr>
        <b/>
        <sz val="12"/>
        <rFont val="Arial"/>
        <family val="2"/>
      </rPr>
      <t>novo registro</t>
    </r>
    <r>
      <rPr>
        <sz val="12"/>
        <rFont val="Arial"/>
        <family val="2"/>
      </rPr>
      <t xml:space="preserve">” e mencionadas no campo </t>
    </r>
    <r>
      <rPr>
        <i/>
        <sz val="12"/>
        <rFont val="Arial"/>
        <family val="2"/>
      </rPr>
      <t>Observações</t>
    </r>
    <r>
      <rPr>
        <sz val="12"/>
        <rFont val="Arial"/>
        <family val="2"/>
      </rPr>
      <t xml:space="preserve"> ao final da folha.</t>
    </r>
  </si>
  <si>
    <t xml:space="preserve">5. Por favor confirme se todos os dados foram inseridos corretamente na planilha. </t>
  </si>
  <si>
    <r>
      <t xml:space="preserve">1. Insira os dados de peixes e invertebrados, registrados durante os censos, nas células em branco das folhas DADOS PEIXES e DADOS INVERTEBRADOS.  Para cada transecto (A, B, C e D) deverão ser preenchidas as colunas </t>
    </r>
    <r>
      <rPr>
        <i/>
        <sz val="12"/>
        <rFont val="Arial"/>
        <family val="2"/>
      </rPr>
      <t>Indicadores,</t>
    </r>
    <r>
      <rPr>
        <i/>
        <sz val="12"/>
        <rFont val="Arial"/>
        <family val="2"/>
      </rPr>
      <t>Espécie</t>
    </r>
    <r>
      <rPr>
        <sz val="12"/>
        <rFont val="Arial"/>
        <family val="2"/>
      </rPr>
      <t xml:space="preserve"> e </t>
    </r>
    <r>
      <rPr>
        <i/>
        <sz val="12"/>
        <rFont val="Arial"/>
        <family val="2"/>
      </rPr>
      <t>Número,</t>
    </r>
    <r>
      <rPr>
        <sz val="12"/>
        <rFont val="Arial"/>
        <family val="2"/>
      </rPr>
      <t xml:space="preserve">e para os peixes ainda a coluna </t>
    </r>
    <r>
      <rPr>
        <i/>
        <sz val="12"/>
        <rFont val="Arial"/>
        <family val="2"/>
      </rPr>
      <t>Comprimento</t>
    </r>
    <r>
      <rPr>
        <sz val="12"/>
        <rFont val="Arial"/>
        <family val="2"/>
      </rPr>
      <t xml:space="preserve"> (rotina avançada). </t>
    </r>
  </si>
  <si>
    <r>
      <t xml:space="preserve">4. Para os </t>
    </r>
    <r>
      <rPr>
        <b/>
        <sz val="12"/>
        <rFont val="Arial"/>
        <family val="2"/>
      </rPr>
      <t>invertebrados</t>
    </r>
    <r>
      <rPr>
        <sz val="12"/>
        <rFont val="Arial"/>
        <family val="2"/>
      </rPr>
      <t xml:space="preserve"> (DADOS INVERTEBRADOS), preencha com o número de animais contados, os impactos encontrados e as estimativas de coral nas respectivas caixas. Lembre-se de colocar ZERO quando nada foi registrado. Não ver nada é informação importante. Se uma caixa estiver em branco, será assumido que não se estava procurando por aquele animal ou impacto.</t>
    </r>
  </si>
  <si>
    <r>
      <t xml:space="preserve">3. No caso dos peixes (DADOS PEIXES), existem duas formas de preencher a folha de dados, conforme a rotina realizada durante os censos. Para a rotina mais simples, somente com a contagem de espécies dentro das categorias, deverá ser apenas indicada a categoria, a espécie e número de peixes correspondente a essa categoria. Para a rotina avançada, além da categoria, espécie e número, são também incluídos dados sobre o comprimento (em centímetros) dos indivíduos. Assim, cada linha deverá corresponder a todos os indivíduos da mesma espécie e com o mesmo comprimento estimado, podendo para cada categoria e espécie haver várias linhas para os diferentes tamanhos estimados nos censos. No caso de cardumes de peixe com diferentes tamanhos, dificultando uma identificação muito detalhada, peixes de tamanhos diferentes podem ser agrupados e usado o comprimento médio do cardume na coluna </t>
    </r>
    <r>
      <rPr>
        <i/>
        <sz val="12"/>
        <rFont val="Arial"/>
        <family val="2"/>
      </rPr>
      <t>Comprimento</t>
    </r>
    <r>
      <rPr>
        <sz val="12"/>
        <rFont val="Arial"/>
        <family val="2"/>
      </rPr>
      <t>.</t>
    </r>
  </si>
  <si>
    <r>
      <t xml:space="preserve">preencha como </t>
    </r>
    <r>
      <rPr>
        <b/>
        <i/>
        <sz val="11"/>
        <color rgb="FFFF0000"/>
        <rFont val="Arial"/>
        <family val="2"/>
      </rPr>
      <t xml:space="preserve">"sem registro" </t>
    </r>
    <r>
      <rPr>
        <b/>
        <sz val="11"/>
        <color rgb="FFFF0000"/>
        <rFont val="Arial"/>
        <family val="2"/>
      </rPr>
      <t xml:space="preserve">na coluna </t>
    </r>
    <r>
      <rPr>
        <b/>
        <i/>
        <sz val="11"/>
        <color rgb="FFFF0000"/>
        <rFont val="Arial"/>
        <family val="2"/>
      </rPr>
      <t>Espécie</t>
    </r>
    <r>
      <rPr>
        <b/>
        <sz val="11"/>
        <color rgb="FFFF0000"/>
        <rFont val="Arial"/>
        <family val="2"/>
      </rPr>
      <t>.</t>
    </r>
  </si>
  <si>
    <t>Trachinotus falcatus</t>
  </si>
  <si>
    <t>Octopus insularis</t>
  </si>
  <si>
    <r>
      <t xml:space="preserve">Voluta </t>
    </r>
    <r>
      <rPr>
        <sz val="11"/>
        <rFont val="Calibri"/>
        <family val="2"/>
        <scheme val="minor"/>
      </rPr>
      <t>sp</t>
    </r>
  </si>
  <si>
    <t>Búzios pequenos</t>
  </si>
  <si>
    <t>Voluta sp</t>
  </si>
  <si>
    <t>Recife de For a - Porto Seguro</t>
  </si>
  <si>
    <t>Fábio Negrão</t>
  </si>
  <si>
    <t>echinometra lucunter</t>
  </si>
  <si>
    <t>Edmilson Do Carmo</t>
  </si>
  <si>
    <t>Edmilson do Carmo</t>
  </si>
  <si>
    <t>Diadema antilatum</t>
  </si>
  <si>
    <t>abudefduf saxatilis</t>
  </si>
  <si>
    <t>stegastes fuscus</t>
  </si>
  <si>
    <t>Taquaruçu</t>
  </si>
  <si>
    <t>07:50:00-11:40</t>
  </si>
  <si>
    <t>anisotremus virginicus</t>
  </si>
  <si>
    <t>chaetodon striatus</t>
  </si>
  <si>
    <t>vermelhos</t>
  </si>
  <si>
    <t>lutjanus jocu</t>
  </si>
  <si>
    <t>não identificado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</si>
</sst>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80" x14ac:knownFonts="1">
    <font>
      <sz val="11"/>
      <color theme="1"/>
      <name val="Calibri"/>
      <family val="2"/>
      <scheme val="minor"/>
    </font>
    <font>
      <sz val="11"/>
      <color theme="1"/>
      <name val="Calibri"/>
      <family val="2"/>
      <scheme val="minor"/>
    </font>
    <font>
      <sz val="10"/>
      <name val="Arial"/>
      <family val="2"/>
    </font>
    <font>
      <u/>
      <sz val="12"/>
      <color rgb="FFFF0000"/>
      <name val="Arial"/>
      <family val="2"/>
    </font>
    <font>
      <sz val="12"/>
      <name val="Arial"/>
      <family val="2"/>
    </font>
    <font>
      <sz val="12"/>
      <color indexed="12"/>
      <name val="Arial"/>
      <family val="2"/>
    </font>
    <font>
      <sz val="12"/>
      <color rgb="FFFF0000"/>
      <name val="Arial"/>
      <family val="2"/>
    </font>
    <font>
      <b/>
      <sz val="12"/>
      <name val="Arial"/>
      <family val="2"/>
    </font>
    <font>
      <sz val="11"/>
      <name val="Arial"/>
      <family val="2"/>
    </font>
    <font>
      <b/>
      <sz val="10"/>
      <name val="Arial Narrow"/>
      <family val="2"/>
    </font>
    <font>
      <sz val="10"/>
      <color indexed="10"/>
      <name val="Arial"/>
      <family val="2"/>
    </font>
    <font>
      <sz val="11"/>
      <color indexed="10"/>
      <name val="Arial"/>
      <family val="2"/>
    </font>
    <font>
      <i/>
      <sz val="10"/>
      <name val="Arial"/>
      <family val="2"/>
    </font>
    <font>
      <b/>
      <sz val="14"/>
      <name val="Arial"/>
      <family val="2"/>
    </font>
    <font>
      <b/>
      <sz val="10"/>
      <name val="Arial"/>
      <family val="2"/>
    </font>
    <font>
      <b/>
      <sz val="11"/>
      <name val="Arial"/>
      <family val="2"/>
    </font>
    <font>
      <b/>
      <sz val="10"/>
      <name val="Calibri"/>
      <family val="2"/>
    </font>
    <font>
      <b/>
      <i/>
      <sz val="10"/>
      <name val="Arial"/>
      <family val="2"/>
    </font>
    <font>
      <b/>
      <sz val="10"/>
      <name val="Times New Roman"/>
      <family val="1"/>
    </font>
    <font>
      <b/>
      <sz val="11"/>
      <color indexed="10"/>
      <name val="Arial"/>
      <family val="2"/>
    </font>
    <font>
      <b/>
      <sz val="12"/>
      <color indexed="10"/>
      <name val="Arial"/>
      <family val="2"/>
    </font>
    <font>
      <sz val="10"/>
      <color indexed="48"/>
      <name val="Arial"/>
      <family val="2"/>
    </font>
    <font>
      <b/>
      <u/>
      <sz val="11"/>
      <name val="Arial Narrow"/>
      <family val="2"/>
    </font>
    <font>
      <sz val="11"/>
      <name val="Arial Narrow"/>
      <family val="2"/>
    </font>
    <font>
      <b/>
      <u/>
      <sz val="14"/>
      <name val="Arial Narrow"/>
      <family val="2"/>
    </font>
    <font>
      <b/>
      <u/>
      <sz val="14"/>
      <color indexed="10"/>
      <name val="Arial Narrow"/>
      <family val="2"/>
    </font>
    <font>
      <sz val="14"/>
      <name val="Arial Narrow"/>
      <family val="2"/>
    </font>
    <font>
      <b/>
      <u/>
      <sz val="14"/>
      <color indexed="12"/>
      <name val="Arial Narrow"/>
      <family val="2"/>
    </font>
    <font>
      <b/>
      <u/>
      <sz val="13"/>
      <name val="Arial Narrow"/>
      <family val="2"/>
    </font>
    <font>
      <b/>
      <u/>
      <sz val="13"/>
      <color indexed="12"/>
      <name val="Arial Narrow"/>
      <family val="2"/>
    </font>
    <font>
      <sz val="10"/>
      <color theme="0"/>
      <name val="Arial"/>
      <family val="2"/>
    </font>
    <font>
      <sz val="11"/>
      <color theme="0"/>
      <name val="Arial"/>
      <family val="2"/>
    </font>
    <font>
      <b/>
      <sz val="12"/>
      <name val="Calibri"/>
      <family val="2"/>
      <scheme val="minor"/>
    </font>
    <font>
      <sz val="11"/>
      <color theme="0"/>
      <name val="Arial Narrow"/>
      <family val="2"/>
    </font>
    <font>
      <sz val="11"/>
      <name val="Calibri"/>
      <family val="2"/>
      <scheme val="minor"/>
    </font>
    <font>
      <b/>
      <sz val="11"/>
      <name val="Arial Narrow"/>
      <family val="2"/>
    </font>
    <font>
      <b/>
      <sz val="11"/>
      <color rgb="FFFF0000"/>
      <name val="Arial"/>
      <family val="2"/>
    </font>
    <font>
      <i/>
      <sz val="11"/>
      <name val="Calibri"/>
      <family val="2"/>
      <scheme val="minor"/>
    </font>
    <font>
      <sz val="10"/>
      <color indexed="8"/>
      <name val="Arial"/>
      <family val="2"/>
    </font>
    <font>
      <i/>
      <sz val="11"/>
      <name val="Calibri"/>
      <family val="2"/>
    </font>
    <font>
      <i/>
      <sz val="11"/>
      <color theme="0"/>
      <name val="Calibri"/>
      <family val="2"/>
    </font>
    <font>
      <b/>
      <i/>
      <sz val="11"/>
      <color theme="0"/>
      <name val="Calibri"/>
      <family val="2"/>
      <scheme val="minor"/>
    </font>
    <font>
      <sz val="10"/>
      <name val="Arial Narrow"/>
      <family val="2"/>
    </font>
    <font>
      <i/>
      <sz val="10"/>
      <color theme="0"/>
      <name val="Arial"/>
      <family val="2"/>
    </font>
    <font>
      <i/>
      <sz val="11"/>
      <color theme="0"/>
      <name val="Calibri"/>
      <family val="2"/>
      <scheme val="minor"/>
    </font>
    <font>
      <b/>
      <i/>
      <sz val="11"/>
      <color theme="0"/>
      <name val="Calibri"/>
      <family val="2"/>
    </font>
    <font>
      <sz val="11"/>
      <color theme="0"/>
      <name val="Calibri"/>
      <family val="2"/>
    </font>
    <font>
      <b/>
      <sz val="11"/>
      <color indexed="8"/>
      <name val="Arial Narrow"/>
      <family val="2"/>
    </font>
    <font>
      <sz val="10"/>
      <color rgb="FFFF0000"/>
      <name val="Arial"/>
      <family val="2"/>
    </font>
    <font>
      <sz val="11"/>
      <color rgb="FFFF0000"/>
      <name val="Arial"/>
      <family val="2"/>
    </font>
    <font>
      <i/>
      <sz val="11"/>
      <color rgb="FFFF0000"/>
      <name val="Calibri"/>
      <family val="2"/>
    </font>
    <font>
      <b/>
      <i/>
      <sz val="11"/>
      <color rgb="FFFF0000"/>
      <name val="Calibri"/>
      <family val="2"/>
      <scheme val="minor"/>
    </font>
    <font>
      <i/>
      <sz val="11"/>
      <color rgb="FFFF0000"/>
      <name val="Calibri"/>
      <family val="2"/>
      <scheme val="minor"/>
    </font>
    <font>
      <b/>
      <i/>
      <sz val="11"/>
      <color rgb="FFFF0000"/>
      <name val="Calibri"/>
      <family val="2"/>
    </font>
    <font>
      <sz val="11"/>
      <color theme="0"/>
      <name val="Calibri"/>
      <family val="2"/>
      <scheme val="minor"/>
    </font>
    <font>
      <sz val="11"/>
      <name val="Calibri"/>
      <family val="2"/>
    </font>
    <font>
      <b/>
      <sz val="11"/>
      <color theme="0"/>
      <name val="Arial Narrow"/>
      <family val="2"/>
    </font>
    <font>
      <b/>
      <sz val="12"/>
      <color indexed="8"/>
      <name val="Arial Narrow"/>
      <family val="2"/>
    </font>
    <font>
      <b/>
      <vertAlign val="superscrip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i/>
      <sz val="12"/>
      <name val="Arial"/>
      <family val="2"/>
    </font>
    <font>
      <b/>
      <i/>
      <sz val="11"/>
      <color rgb="FFFF0000"/>
      <name val="Arial"/>
      <family val="2"/>
    </font>
    <font>
      <b/>
      <sz val="10"/>
      <color indexed="10"/>
      <name val="Arial"/>
      <family val="2"/>
    </font>
    <font>
      <i/>
      <sz val="10"/>
      <color indexed="10"/>
      <name val="Arial"/>
      <family val="2"/>
    </font>
    <font>
      <u/>
      <sz val="11"/>
      <color theme="10"/>
      <name val="Calibri"/>
      <family val="2"/>
      <scheme val="minor"/>
    </font>
    <font>
      <u/>
      <sz val="11"/>
      <color theme="11"/>
      <name val="Calibri"/>
      <family val="2"/>
      <scheme val="minor"/>
    </font>
  </fonts>
  <fills count="4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4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6">
    <xf numFmtId="0" fontId="0" fillId="0" borderId="0"/>
    <xf numFmtId="0" fontId="2" fillId="0" borderId="0"/>
    <xf numFmtId="9" fontId="2" fillId="0" borderId="0" applyFont="0" applyFill="0" applyBorder="0" applyAlignment="0" applyProtection="0"/>
    <xf numFmtId="0" fontId="38" fillId="0" borderId="0"/>
    <xf numFmtId="0" fontId="38" fillId="0" borderId="0"/>
    <xf numFmtId="0" fontId="1" fillId="0" borderId="0"/>
    <xf numFmtId="0" fontId="59" fillId="0" borderId="0" applyNumberFormat="0" applyFill="0" applyBorder="0" applyAlignment="0" applyProtection="0"/>
    <xf numFmtId="0" fontId="60" fillId="0" borderId="35" applyNumberFormat="0" applyFill="0" applyAlignment="0" applyProtection="0"/>
    <xf numFmtId="0" fontId="61" fillId="0" borderId="36" applyNumberFormat="0" applyFill="0" applyAlignment="0" applyProtection="0"/>
    <xf numFmtId="0" fontId="62" fillId="0" borderId="37" applyNumberFormat="0" applyFill="0" applyAlignment="0" applyProtection="0"/>
    <xf numFmtId="0" fontId="62" fillId="0" borderId="0" applyNumberFormat="0" applyFill="0" applyBorder="0" applyAlignment="0" applyProtection="0"/>
    <xf numFmtId="0" fontId="63" fillId="9" borderId="0" applyNumberFormat="0" applyBorder="0" applyAlignment="0" applyProtection="0"/>
    <xf numFmtId="0" fontId="64" fillId="10" borderId="0" applyNumberFormat="0" applyBorder="0" applyAlignment="0" applyProtection="0"/>
    <xf numFmtId="0" fontId="65" fillId="11" borderId="0" applyNumberFormat="0" applyBorder="0" applyAlignment="0" applyProtection="0"/>
    <xf numFmtId="0" fontId="66" fillId="12" borderId="38" applyNumberFormat="0" applyAlignment="0" applyProtection="0"/>
    <xf numFmtId="0" fontId="67" fillId="13" borderId="39" applyNumberFormat="0" applyAlignment="0" applyProtection="0"/>
    <xf numFmtId="0" fontId="68" fillId="13" borderId="38" applyNumberFormat="0" applyAlignment="0" applyProtection="0"/>
    <xf numFmtId="0" fontId="69" fillId="0" borderId="40" applyNumberFormat="0" applyFill="0" applyAlignment="0" applyProtection="0"/>
    <xf numFmtId="0" fontId="70" fillId="14" borderId="41" applyNumberFormat="0" applyAlignment="0" applyProtection="0"/>
    <xf numFmtId="0" fontId="71" fillId="0" borderId="0" applyNumberFormat="0" applyFill="0" applyBorder="0" applyAlignment="0" applyProtection="0"/>
    <xf numFmtId="0" fontId="72" fillId="0" borderId="0" applyNumberFormat="0" applyFill="0" applyBorder="0" applyAlignment="0" applyProtection="0"/>
    <xf numFmtId="0" fontId="73" fillId="0" borderId="43" applyNumberFormat="0" applyFill="0" applyAlignment="0" applyProtection="0"/>
    <xf numFmtId="0" fontId="54"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54" fillId="19" borderId="0" applyNumberFormat="0" applyBorder="0" applyAlignment="0" applyProtection="0"/>
    <xf numFmtId="0" fontId="54"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54" fillId="23" borderId="0" applyNumberFormat="0" applyBorder="0" applyAlignment="0" applyProtection="0"/>
    <xf numFmtId="0" fontId="54"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54" fillId="27" borderId="0" applyNumberFormat="0" applyBorder="0" applyAlignment="0" applyProtection="0"/>
    <xf numFmtId="0" fontId="54"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54" fillId="35" borderId="0" applyNumberFormat="0" applyBorder="0" applyAlignment="0" applyProtection="0"/>
    <xf numFmtId="0" fontId="54"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54" fillId="39" borderId="0" applyNumberFormat="0" applyBorder="0" applyAlignment="0" applyProtection="0"/>
    <xf numFmtId="0" fontId="1" fillId="0" borderId="0"/>
    <xf numFmtId="0" fontId="1" fillId="15" borderId="42" applyNumberFormat="0" applyFont="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cellStyleXfs>
  <cellXfs count="395">
    <xf numFmtId="0" fontId="0" fillId="0" borderId="0" xfId="0"/>
    <xf numFmtId="0" fontId="3" fillId="2" borderId="0" xfId="1" applyFont="1" applyFill="1" applyAlignment="1">
      <alignment wrapText="1"/>
    </xf>
    <xf numFmtId="0" fontId="2" fillId="2" borderId="0" xfId="1" applyFill="1"/>
    <xf numFmtId="0" fontId="2" fillId="0" borderId="0" xfId="1"/>
    <xf numFmtId="0" fontId="4" fillId="2" borderId="0" xfId="1" applyFont="1" applyFill="1" applyAlignment="1">
      <alignment vertical="top" wrapText="1"/>
    </xf>
    <xf numFmtId="0" fontId="4" fillId="2" borderId="0" xfId="1" applyFont="1" applyFill="1" applyAlignment="1">
      <alignment wrapText="1"/>
    </xf>
    <xf numFmtId="0" fontId="4" fillId="2" borderId="0" xfId="1" applyFont="1" applyFill="1" applyAlignment="1">
      <alignment horizontal="left" vertical="top" wrapText="1"/>
    </xf>
    <xf numFmtId="0" fontId="2" fillId="3" borderId="0" xfId="1" applyFill="1"/>
    <xf numFmtId="0" fontId="6" fillId="2" borderId="0" xfId="1" applyFont="1" applyFill="1" applyAlignment="1">
      <alignment wrapText="1"/>
    </xf>
    <xf numFmtId="0" fontId="4" fillId="4" borderId="0" xfId="1" applyFont="1" applyFill="1" applyAlignment="1">
      <alignment vertical="top" wrapText="1"/>
    </xf>
    <xf numFmtId="0" fontId="4" fillId="4" borderId="0" xfId="1" applyFont="1" applyFill="1" applyAlignment="1">
      <alignment horizontal="left" vertical="top" wrapText="1"/>
    </xf>
    <xf numFmtId="0" fontId="2" fillId="2" borderId="0" xfId="1" applyFill="1" applyAlignment="1">
      <alignment horizontal="left" vertical="top"/>
    </xf>
    <xf numFmtId="0" fontId="4" fillId="4" borderId="0" xfId="1" applyFont="1" applyFill="1" applyAlignment="1">
      <alignment horizontal="left" wrapText="1"/>
    </xf>
    <xf numFmtId="0" fontId="4" fillId="3" borderId="0" xfId="1" applyFont="1" applyFill="1" applyAlignment="1">
      <alignment wrapText="1"/>
    </xf>
    <xf numFmtId="0" fontId="4" fillId="0" borderId="0" xfId="1" applyFont="1"/>
    <xf numFmtId="0" fontId="4" fillId="4" borderId="0" xfId="1" applyFont="1" applyFill="1" applyAlignment="1">
      <alignment wrapText="1"/>
    </xf>
    <xf numFmtId="0" fontId="8" fillId="2" borderId="0" xfId="1" applyFont="1" applyFill="1" applyBorder="1" applyProtection="1"/>
    <xf numFmtId="0" fontId="9" fillId="5" borderId="3" xfId="1" applyFont="1" applyFill="1" applyBorder="1" applyAlignment="1" applyProtection="1">
      <alignment horizontal="right"/>
    </xf>
    <xf numFmtId="0" fontId="2" fillId="2" borderId="0" xfId="1" applyFont="1" applyFill="1"/>
    <xf numFmtId="0" fontId="8" fillId="2" borderId="0" xfId="1" applyFont="1" applyFill="1" applyProtection="1"/>
    <xf numFmtId="0" fontId="8" fillId="0" borderId="0" xfId="1" applyFont="1" applyProtection="1"/>
    <xf numFmtId="0" fontId="9" fillId="5" borderId="4" xfId="1" applyFont="1" applyFill="1" applyBorder="1" applyAlignment="1" applyProtection="1"/>
    <xf numFmtId="0" fontId="2" fillId="5" borderId="0" xfId="1" applyFont="1" applyFill="1" applyBorder="1" applyAlignment="1" applyProtection="1">
      <protection locked="0"/>
    </xf>
    <xf numFmtId="0" fontId="9" fillId="5" borderId="0" xfId="1" applyFont="1" applyFill="1" applyBorder="1" applyAlignment="1" applyProtection="1">
      <alignment horizontal="right"/>
    </xf>
    <xf numFmtId="0" fontId="8" fillId="5" borderId="7" xfId="1" applyFont="1" applyFill="1" applyBorder="1" applyProtection="1"/>
    <xf numFmtId="0" fontId="9" fillId="5" borderId="7" xfId="1" applyFont="1" applyFill="1" applyBorder="1" applyAlignment="1" applyProtection="1">
      <alignment horizontal="right" wrapText="1"/>
    </xf>
    <xf numFmtId="0" fontId="2" fillId="5" borderId="4" xfId="1" applyFont="1" applyFill="1" applyBorder="1" applyProtection="1"/>
    <xf numFmtId="0" fontId="2" fillId="5" borderId="0" xfId="1" applyFont="1" applyFill="1" applyBorder="1" applyAlignment="1" applyProtection="1">
      <alignment horizontal="center"/>
    </xf>
    <xf numFmtId="0" fontId="2" fillId="5" borderId="0" xfId="1" applyFont="1" applyFill="1" applyBorder="1" applyProtection="1"/>
    <xf numFmtId="0" fontId="11" fillId="5" borderId="1" xfId="1" applyFont="1" applyFill="1" applyBorder="1" applyAlignment="1" applyProtection="1">
      <alignment wrapText="1"/>
    </xf>
    <xf numFmtId="0" fontId="8" fillId="5" borderId="2" xfId="1" applyFont="1" applyFill="1" applyBorder="1" applyAlignment="1" applyProtection="1">
      <alignment wrapText="1"/>
    </xf>
    <xf numFmtId="0" fontId="8" fillId="5" borderId="3" xfId="1" applyFont="1" applyFill="1" applyBorder="1" applyProtection="1"/>
    <xf numFmtId="0" fontId="9" fillId="5" borderId="4" xfId="1" applyFont="1" applyFill="1" applyBorder="1" applyAlignment="1" applyProtection="1">
      <alignment horizontal="right"/>
    </xf>
    <xf numFmtId="0" fontId="12" fillId="5" borderId="4" xfId="1" applyFont="1" applyFill="1" applyBorder="1" applyAlignment="1" applyProtection="1">
      <alignment horizontal="center"/>
    </xf>
    <xf numFmtId="0" fontId="2" fillId="5" borderId="10" xfId="1" applyFont="1" applyFill="1" applyBorder="1" applyAlignment="1" applyProtection="1">
      <alignment horizontal="center"/>
    </xf>
    <xf numFmtId="0" fontId="13" fillId="5" borderId="4" xfId="1" applyFont="1" applyFill="1" applyBorder="1" applyProtection="1"/>
    <xf numFmtId="0" fontId="14" fillId="6" borderId="5" xfId="1" applyFont="1" applyFill="1" applyBorder="1" applyAlignment="1" applyProtection="1">
      <alignment horizontal="center"/>
    </xf>
    <xf numFmtId="0" fontId="14" fillId="6" borderId="12" xfId="1" applyFont="1" applyFill="1" applyBorder="1" applyAlignment="1" applyProtection="1">
      <alignment horizontal="center"/>
    </xf>
    <xf numFmtId="0" fontId="14" fillId="6" borderId="8" xfId="1" applyFont="1" applyFill="1" applyBorder="1" applyAlignment="1" applyProtection="1">
      <alignment horizontal="center"/>
    </xf>
    <xf numFmtId="0" fontId="14" fillId="5" borderId="0" xfId="1" applyFont="1" applyFill="1" applyBorder="1" applyAlignment="1" applyProtection="1">
      <alignment horizontal="center"/>
    </xf>
    <xf numFmtId="0" fontId="2" fillId="5" borderId="7" xfId="1" applyFont="1" applyFill="1" applyBorder="1" applyProtection="1"/>
    <xf numFmtId="0" fontId="14" fillId="5" borderId="4" xfId="1" applyFont="1" applyFill="1" applyBorder="1" applyAlignment="1" applyProtection="1"/>
    <xf numFmtId="0" fontId="2" fillId="0" borderId="1" xfId="1" applyFont="1" applyFill="1" applyBorder="1" applyAlignment="1" applyProtection="1">
      <alignment horizontal="center"/>
      <protection hidden="1"/>
    </xf>
    <xf numFmtId="0" fontId="2" fillId="0" borderId="13" xfId="1" applyFont="1" applyFill="1" applyBorder="1" applyAlignment="1" applyProtection="1">
      <alignment horizontal="center"/>
      <protection hidden="1"/>
    </xf>
    <xf numFmtId="0" fontId="14" fillId="5" borderId="0" xfId="1" applyFont="1" applyFill="1" applyBorder="1" applyProtection="1"/>
    <xf numFmtId="0" fontId="15" fillId="5" borderId="7" xfId="1" applyFont="1" applyFill="1" applyBorder="1" applyProtection="1"/>
    <xf numFmtId="0" fontId="2" fillId="0" borderId="12" xfId="1" applyFont="1" applyFill="1" applyBorder="1" applyAlignment="1" applyProtection="1">
      <alignment horizontal="center"/>
      <protection hidden="1"/>
    </xf>
    <xf numFmtId="0" fontId="2" fillId="0" borderId="5" xfId="1" applyFont="1" applyFill="1" applyBorder="1" applyAlignment="1" applyProtection="1">
      <alignment horizontal="center"/>
      <protection hidden="1"/>
    </xf>
    <xf numFmtId="0" fontId="12" fillId="5" borderId="4" xfId="1" applyFont="1" applyFill="1" applyBorder="1" applyProtection="1"/>
    <xf numFmtId="0" fontId="14" fillId="5" borderId="4" xfId="1" applyFont="1" applyFill="1" applyBorder="1" applyProtection="1"/>
    <xf numFmtId="0" fontId="14" fillId="5" borderId="7" xfId="1" applyFont="1" applyFill="1" applyBorder="1" applyProtection="1"/>
    <xf numFmtId="0" fontId="2" fillId="5" borderId="7" xfId="1" applyFill="1" applyBorder="1"/>
    <xf numFmtId="0" fontId="2" fillId="5" borderId="7" xfId="1" applyFill="1" applyBorder="1" applyProtection="1"/>
    <xf numFmtId="0" fontId="12" fillId="5" borderId="9" xfId="1" applyFont="1" applyFill="1" applyBorder="1" applyAlignment="1" applyProtection="1">
      <alignment horizontal="center"/>
    </xf>
    <xf numFmtId="0" fontId="8" fillId="5" borderId="11" xfId="1" applyFont="1" applyFill="1" applyBorder="1" applyProtection="1"/>
    <xf numFmtId="0" fontId="12" fillId="7" borderId="1" xfId="1" applyFont="1" applyFill="1" applyBorder="1" applyAlignment="1" applyProtection="1">
      <alignment horizontal="center"/>
    </xf>
    <xf numFmtId="0" fontId="2" fillId="7" borderId="8" xfId="1" applyFont="1" applyFill="1" applyBorder="1" applyAlignment="1" applyProtection="1">
      <alignment horizontal="center"/>
    </xf>
    <xf numFmtId="0" fontId="8" fillId="7" borderId="3" xfId="1" applyFont="1" applyFill="1" applyBorder="1" applyProtection="1"/>
    <xf numFmtId="0" fontId="9" fillId="7" borderId="4" xfId="1" applyFont="1" applyFill="1" applyBorder="1" applyAlignment="1" applyProtection="1">
      <alignment horizontal="right"/>
    </xf>
    <xf numFmtId="0" fontId="8" fillId="7" borderId="7" xfId="1" applyFont="1" applyFill="1" applyBorder="1" applyProtection="1"/>
    <xf numFmtId="0" fontId="12" fillId="7" borderId="4" xfId="1" applyFont="1" applyFill="1" applyBorder="1" applyAlignment="1" applyProtection="1">
      <alignment horizontal="center"/>
    </xf>
    <xf numFmtId="0" fontId="2" fillId="7" borderId="0" xfId="1" applyFont="1" applyFill="1" applyBorder="1" applyAlignment="1" applyProtection="1">
      <alignment horizontal="center"/>
    </xf>
    <xf numFmtId="0" fontId="13" fillId="7" borderId="4" xfId="1" applyFont="1" applyFill="1" applyBorder="1" applyProtection="1"/>
    <xf numFmtId="0" fontId="14" fillId="8" borderId="5" xfId="1" applyFont="1" applyFill="1" applyBorder="1" applyAlignment="1" applyProtection="1">
      <alignment horizontal="center"/>
    </xf>
    <xf numFmtId="0" fontId="14" fillId="8" borderId="12" xfId="1" applyFont="1" applyFill="1" applyBorder="1" applyAlignment="1" applyProtection="1">
      <alignment horizontal="center"/>
    </xf>
    <xf numFmtId="0" fontId="14" fillId="8" borderId="8" xfId="1" applyFont="1" applyFill="1" applyBorder="1" applyAlignment="1" applyProtection="1">
      <alignment horizontal="center"/>
    </xf>
    <xf numFmtId="0" fontId="14" fillId="7" borderId="0" xfId="1" applyFont="1" applyFill="1" applyBorder="1" applyAlignment="1" applyProtection="1">
      <alignment horizontal="center"/>
    </xf>
    <xf numFmtId="0" fontId="14" fillId="7" borderId="4" xfId="1" applyFont="1" applyFill="1" applyBorder="1" applyAlignment="1" applyProtection="1"/>
    <xf numFmtId="0" fontId="14" fillId="7" borderId="0" xfId="1" applyFont="1" applyFill="1" applyBorder="1" applyProtection="1"/>
    <xf numFmtId="0" fontId="14" fillId="7" borderId="4" xfId="1" applyFont="1" applyFill="1" applyBorder="1" applyAlignment="1" applyProtection="1">
      <alignment vertical="center"/>
    </xf>
    <xf numFmtId="0" fontId="14" fillId="7" borderId="4" xfId="1" applyFont="1" applyFill="1" applyBorder="1" applyProtection="1"/>
    <xf numFmtId="0" fontId="14" fillId="7" borderId="14" xfId="1" applyFont="1" applyFill="1" applyBorder="1" applyAlignment="1" applyProtection="1"/>
    <xf numFmtId="0" fontId="2" fillId="0" borderId="12" xfId="1" applyFont="1" applyFill="1" applyBorder="1" applyAlignment="1" applyProtection="1">
      <alignment horizontal="center"/>
      <protection locked="0"/>
    </xf>
    <xf numFmtId="0" fontId="17" fillId="7" borderId="4" xfId="1" applyFont="1" applyFill="1" applyBorder="1" applyAlignment="1" applyProtection="1">
      <alignment wrapText="1"/>
    </xf>
    <xf numFmtId="0" fontId="14" fillId="7" borderId="7" xfId="1" applyFont="1" applyFill="1" applyBorder="1" applyProtection="1"/>
    <xf numFmtId="0" fontId="14" fillId="7" borderId="4" xfId="1" applyFont="1" applyFill="1" applyBorder="1" applyAlignment="1" applyProtection="1">
      <alignment vertical="center" wrapText="1"/>
    </xf>
    <xf numFmtId="0" fontId="14" fillId="7" borderId="0" xfId="1" applyFont="1" applyFill="1" applyBorder="1" applyAlignment="1" applyProtection="1">
      <alignment vertical="center" wrapText="1"/>
    </xf>
    <xf numFmtId="0" fontId="2" fillId="7" borderId="4" xfId="1" applyFont="1" applyFill="1" applyBorder="1" applyAlignment="1" applyProtection="1">
      <alignment horizontal="right" vertical="center" wrapText="1"/>
    </xf>
    <xf numFmtId="0" fontId="14" fillId="7" borderId="0" xfId="1" applyNumberFormat="1" applyFont="1" applyFill="1" applyBorder="1" applyProtection="1"/>
    <xf numFmtId="0" fontId="2" fillId="7" borderId="4" xfId="1" applyFont="1" applyFill="1" applyBorder="1" applyAlignment="1" applyProtection="1">
      <alignment horizontal="right" wrapText="1"/>
    </xf>
    <xf numFmtId="0" fontId="18" fillId="7" borderId="4" xfId="1" applyFont="1" applyFill="1" applyBorder="1" applyProtection="1"/>
    <xf numFmtId="0" fontId="18" fillId="7" borderId="0" xfId="1" applyFont="1" applyFill="1" applyBorder="1" applyProtection="1"/>
    <xf numFmtId="0" fontId="18" fillId="7" borderId="7" xfId="1" applyFont="1" applyFill="1" applyBorder="1" applyProtection="1"/>
    <xf numFmtId="0" fontId="2" fillId="7" borderId="4" xfId="1" applyFont="1" applyFill="1" applyBorder="1" applyAlignment="1" applyProtection="1">
      <alignment horizontal="right"/>
    </xf>
    <xf numFmtId="0" fontId="2" fillId="7" borderId="4" xfId="1" applyFont="1" applyFill="1" applyBorder="1" applyProtection="1"/>
    <xf numFmtId="0" fontId="2" fillId="7" borderId="0" xfId="1" applyFont="1" applyFill="1" applyBorder="1" applyProtection="1"/>
    <xf numFmtId="0" fontId="2" fillId="7" borderId="7" xfId="1" applyFont="1" applyFill="1" applyBorder="1" applyProtection="1"/>
    <xf numFmtId="0" fontId="14" fillId="7" borderId="14" xfId="1" applyFont="1" applyFill="1" applyBorder="1" applyAlignment="1" applyProtection="1">
      <alignment horizontal="right"/>
    </xf>
    <xf numFmtId="0" fontId="2" fillId="7" borderId="9" xfId="1" applyFill="1" applyBorder="1"/>
    <xf numFmtId="0" fontId="2" fillId="7" borderId="10" xfId="1" applyFill="1" applyBorder="1"/>
    <xf numFmtId="0" fontId="2" fillId="7" borderId="11" xfId="1" applyFont="1" applyFill="1" applyBorder="1" applyProtection="1"/>
    <xf numFmtId="0" fontId="2" fillId="2" borderId="2" xfId="1" applyFill="1" applyBorder="1"/>
    <xf numFmtId="0" fontId="2" fillId="2" borderId="0" xfId="1" applyFont="1" applyFill="1" applyProtection="1"/>
    <xf numFmtId="0" fontId="8" fillId="2" borderId="0" xfId="1" applyFont="1" applyFill="1"/>
    <xf numFmtId="0" fontId="8" fillId="2" borderId="0" xfId="1" applyFont="1" applyFill="1" applyAlignment="1">
      <alignment wrapText="1"/>
    </xf>
    <xf numFmtId="0" fontId="8" fillId="2" borderId="0" xfId="1" applyFont="1" applyFill="1" applyBorder="1"/>
    <xf numFmtId="0" fontId="8" fillId="0" borderId="0" xfId="1" applyFont="1" applyFill="1"/>
    <xf numFmtId="0" fontId="2" fillId="2" borderId="0" xfId="1" applyFill="1" applyBorder="1" applyAlignment="1">
      <alignment wrapText="1"/>
    </xf>
    <xf numFmtId="0" fontId="10" fillId="2" borderId="0" xfId="1" applyFont="1" applyFill="1" applyBorder="1" applyAlignment="1">
      <alignment wrapText="1"/>
    </xf>
    <xf numFmtId="0" fontId="8" fillId="0" borderId="0" xfId="1" applyFont="1"/>
    <xf numFmtId="0" fontId="22" fillId="2" borderId="0" xfId="1" applyFont="1" applyFill="1" applyBorder="1" applyAlignment="1">
      <alignment vertical="center"/>
    </xf>
    <xf numFmtId="0" fontId="23" fillId="2" borderId="0" xfId="1" applyFont="1" applyFill="1" applyAlignment="1">
      <alignment vertical="center"/>
    </xf>
    <xf numFmtId="0" fontId="10" fillId="2" borderId="2" xfId="1" applyFont="1" applyFill="1" applyBorder="1" applyAlignment="1">
      <alignment wrapText="1"/>
    </xf>
    <xf numFmtId="0" fontId="8" fillId="3" borderId="0" xfId="1" applyFont="1" applyFill="1"/>
    <xf numFmtId="0" fontId="8" fillId="3" borderId="0" xfId="1" applyFont="1" applyFill="1" applyBorder="1"/>
    <xf numFmtId="0" fontId="8" fillId="3" borderId="1" xfId="1" applyFont="1" applyFill="1" applyBorder="1"/>
    <xf numFmtId="0" fontId="8" fillId="3" borderId="2" xfId="1" applyFont="1" applyFill="1" applyBorder="1"/>
    <xf numFmtId="0" fontId="8" fillId="3" borderId="3" xfId="1" applyFont="1" applyFill="1" applyBorder="1"/>
    <xf numFmtId="0" fontId="8" fillId="3" borderId="7" xfId="1" applyFont="1" applyFill="1" applyBorder="1"/>
    <xf numFmtId="0" fontId="15" fillId="6" borderId="5" xfId="1" applyFont="1" applyFill="1" applyBorder="1" applyAlignment="1">
      <alignment wrapText="1"/>
    </xf>
    <xf numFmtId="0" fontId="15" fillId="6" borderId="12" xfId="1" applyFont="1" applyFill="1" applyBorder="1" applyAlignment="1">
      <alignment horizontal="center"/>
    </xf>
    <xf numFmtId="0" fontId="15" fillId="6" borderId="6" xfId="1" applyFont="1" applyFill="1" applyBorder="1" applyAlignment="1">
      <alignment horizontal="center"/>
    </xf>
    <xf numFmtId="0" fontId="27" fillId="3" borderId="4" xfId="1" applyFont="1" applyFill="1" applyBorder="1" applyAlignment="1"/>
    <xf numFmtId="0" fontId="27" fillId="3" borderId="0" xfId="1" applyFont="1" applyFill="1" applyBorder="1" applyAlignment="1"/>
    <xf numFmtId="0" fontId="27" fillId="3" borderId="7" xfId="1" applyFont="1" applyFill="1" applyBorder="1" applyAlignment="1"/>
    <xf numFmtId="0" fontId="24" fillId="3" borderId="0" xfId="1" applyFont="1" applyFill="1" applyBorder="1" applyAlignment="1"/>
    <xf numFmtId="0" fontId="14" fillId="5" borderId="13" xfId="1" applyFont="1" applyFill="1" applyBorder="1" applyAlignment="1" applyProtection="1"/>
    <xf numFmtId="0" fontId="8" fillId="5" borderId="14" xfId="1" applyFont="1" applyFill="1" applyBorder="1" applyAlignment="1">
      <alignment horizontal="center"/>
    </xf>
    <xf numFmtId="0" fontId="8" fillId="5" borderId="7" xfId="1" applyFont="1" applyFill="1" applyBorder="1" applyAlignment="1">
      <alignment horizontal="center"/>
    </xf>
    <xf numFmtId="0" fontId="8" fillId="3" borderId="4" xfId="1" applyFont="1" applyFill="1" applyBorder="1"/>
    <xf numFmtId="0" fontId="14" fillId="5" borderId="14" xfId="1" applyFont="1" applyFill="1" applyBorder="1" applyAlignment="1" applyProtection="1"/>
    <xf numFmtId="0" fontId="8" fillId="3" borderId="14" xfId="1" applyFont="1" applyFill="1" applyBorder="1"/>
    <xf numFmtId="0" fontId="14" fillId="5" borderId="15" xfId="1" applyFont="1" applyFill="1" applyBorder="1" applyAlignment="1" applyProtection="1"/>
    <xf numFmtId="0" fontId="8" fillId="5" borderId="15" xfId="1" applyFont="1" applyFill="1" applyBorder="1" applyAlignment="1">
      <alignment horizontal="center"/>
    </xf>
    <xf numFmtId="0" fontId="8" fillId="5" borderId="11" xfId="1" applyFont="1" applyFill="1" applyBorder="1" applyAlignment="1">
      <alignment horizontal="center"/>
    </xf>
    <xf numFmtId="0" fontId="15" fillId="6" borderId="5" xfId="1" applyFont="1" applyFill="1" applyBorder="1" applyAlignment="1" applyProtection="1">
      <alignment wrapText="1"/>
    </xf>
    <xf numFmtId="0" fontId="14" fillId="5" borderId="4" xfId="1" applyFont="1" applyFill="1" applyBorder="1"/>
    <xf numFmtId="0" fontId="14" fillId="5" borderId="9" xfId="1" applyFont="1" applyFill="1" applyBorder="1"/>
    <xf numFmtId="0" fontId="15" fillId="8" borderId="5" xfId="1" applyFont="1" applyFill="1" applyBorder="1" applyAlignment="1" applyProtection="1">
      <alignment wrapText="1"/>
    </xf>
    <xf numFmtId="0" fontId="15" fillId="8" borderId="12" xfId="1" applyFont="1" applyFill="1" applyBorder="1" applyAlignment="1">
      <alignment horizontal="center"/>
    </xf>
    <xf numFmtId="0" fontId="15" fillId="8" borderId="6" xfId="1" applyFont="1" applyFill="1" applyBorder="1" applyAlignment="1">
      <alignment horizontal="center"/>
    </xf>
    <xf numFmtId="0" fontId="8" fillId="7" borderId="14" xfId="1" applyFont="1" applyFill="1" applyBorder="1" applyAlignment="1">
      <alignment horizontal="center"/>
    </xf>
    <xf numFmtId="0" fontId="14" fillId="7" borderId="15" xfId="1" applyFont="1" applyFill="1" applyBorder="1" applyAlignment="1" applyProtection="1"/>
    <xf numFmtId="0" fontId="8" fillId="7" borderId="15" xfId="1" applyFont="1" applyFill="1" applyBorder="1" applyAlignment="1">
      <alignment horizontal="center"/>
    </xf>
    <xf numFmtId="0" fontId="8" fillId="3" borderId="9" xfId="1" applyFont="1" applyFill="1" applyBorder="1"/>
    <xf numFmtId="0" fontId="8" fillId="3" borderId="10" xfId="1" applyFont="1" applyFill="1" applyBorder="1"/>
    <xf numFmtId="0" fontId="8" fillId="3" borderId="11" xfId="1" applyFont="1" applyFill="1" applyBorder="1"/>
    <xf numFmtId="0" fontId="28" fillId="3" borderId="1" xfId="1" applyFont="1" applyFill="1" applyBorder="1" applyAlignment="1">
      <alignment horizontal="center"/>
    </xf>
    <xf numFmtId="0" fontId="28" fillId="3" borderId="2" xfId="1" applyFont="1" applyFill="1" applyBorder="1" applyAlignment="1">
      <alignment horizontal="center"/>
    </xf>
    <xf numFmtId="0" fontId="28" fillId="3" borderId="3" xfId="1" applyFont="1" applyFill="1" applyBorder="1" applyAlignment="1">
      <alignment horizontal="center"/>
    </xf>
    <xf numFmtId="0" fontId="15" fillId="8" borderId="5" xfId="1" applyFont="1" applyFill="1" applyBorder="1" applyAlignment="1">
      <alignment wrapText="1"/>
    </xf>
    <xf numFmtId="0" fontId="29" fillId="3" borderId="4" xfId="1" applyFont="1" applyFill="1" applyBorder="1" applyAlignment="1">
      <alignment horizontal="center"/>
    </xf>
    <xf numFmtId="0" fontId="28" fillId="3" borderId="0" xfId="1" applyFont="1" applyFill="1" applyBorder="1" applyAlignment="1">
      <alignment horizontal="center"/>
    </xf>
    <xf numFmtId="0" fontId="28" fillId="3" borderId="7" xfId="1" applyFont="1" applyFill="1" applyBorder="1" applyAlignment="1">
      <alignment horizontal="center"/>
    </xf>
    <xf numFmtId="0" fontId="14" fillId="7" borderId="4" xfId="1" applyFont="1" applyFill="1" applyBorder="1" applyAlignment="1" applyProtection="1">
      <alignment wrapText="1"/>
    </xf>
    <xf numFmtId="0" fontId="24" fillId="3" borderId="4" xfId="1" applyFont="1" applyFill="1" applyBorder="1" applyAlignment="1">
      <alignment horizontal="center" wrapText="1"/>
    </xf>
    <xf numFmtId="0" fontId="24" fillId="3" borderId="0" xfId="1" applyFont="1" applyFill="1" applyBorder="1" applyAlignment="1">
      <alignment horizontal="center" wrapText="1"/>
    </xf>
    <xf numFmtId="0" fontId="24" fillId="3" borderId="7" xfId="1" applyFont="1" applyFill="1" applyBorder="1" applyAlignment="1">
      <alignment horizontal="center" wrapText="1"/>
    </xf>
    <xf numFmtId="0" fontId="28" fillId="3" borderId="0" xfId="1" applyFont="1" applyFill="1" applyBorder="1" applyAlignment="1"/>
    <xf numFmtId="0" fontId="8" fillId="3" borderId="0" xfId="1" applyFont="1" applyFill="1" applyBorder="1" applyAlignment="1">
      <alignment wrapText="1"/>
    </xf>
    <xf numFmtId="0" fontId="14" fillId="7" borderId="9" xfId="1" applyFont="1" applyFill="1" applyBorder="1" applyAlignment="1" applyProtection="1">
      <alignment wrapText="1"/>
    </xf>
    <xf numFmtId="0" fontId="15" fillId="0" borderId="7" xfId="1" applyFont="1" applyBorder="1" applyAlignment="1">
      <alignment wrapText="1"/>
    </xf>
    <xf numFmtId="0" fontId="8" fillId="3" borderId="0" xfId="1" applyFont="1" applyFill="1" applyAlignment="1">
      <alignment wrapText="1"/>
    </xf>
    <xf numFmtId="0" fontId="8" fillId="0" borderId="0" xfId="1" applyFont="1" applyFill="1" applyAlignment="1">
      <alignment wrapText="1"/>
    </xf>
    <xf numFmtId="0" fontId="2" fillId="0" borderId="0" xfId="1" applyFont="1" applyProtection="1"/>
    <xf numFmtId="0" fontId="2" fillId="0" borderId="0" xfId="1" applyFont="1" applyBorder="1" applyAlignment="1" applyProtection="1">
      <alignment horizontal="left"/>
    </xf>
    <xf numFmtId="0" fontId="2" fillId="0" borderId="0" xfId="1" applyFont="1" applyAlignment="1" applyProtection="1">
      <alignment horizontal="left"/>
    </xf>
    <xf numFmtId="0" fontId="2" fillId="0" borderId="0" xfId="1" applyFont="1"/>
    <xf numFmtId="0" fontId="2" fillId="3" borderId="0" xfId="1" applyFont="1" applyFill="1"/>
    <xf numFmtId="0" fontId="2" fillId="5" borderId="1" xfId="1" applyFont="1" applyFill="1" applyBorder="1"/>
    <xf numFmtId="0" fontId="8" fillId="5" borderId="2" xfId="1" applyFont="1" applyFill="1" applyBorder="1" applyProtection="1"/>
    <xf numFmtId="0" fontId="8" fillId="5" borderId="1" xfId="1" applyFont="1" applyFill="1" applyBorder="1" applyProtection="1"/>
    <xf numFmtId="0" fontId="2" fillId="5" borderId="3" xfId="1" applyFont="1" applyFill="1" applyBorder="1"/>
    <xf numFmtId="0" fontId="31" fillId="0" borderId="0" xfId="1" applyFont="1" applyAlignment="1" applyProtection="1">
      <alignment horizontal="center"/>
    </xf>
    <xf numFmtId="0" fontId="32" fillId="5" borderId="4" xfId="1" applyFont="1" applyFill="1" applyBorder="1" applyAlignment="1">
      <alignment horizontal="left"/>
    </xf>
    <xf numFmtId="0" fontId="2" fillId="5" borderId="0" xfId="1" applyFont="1" applyFill="1" applyBorder="1"/>
    <xf numFmtId="0" fontId="8" fillId="5" borderId="4" xfId="1" applyFont="1" applyFill="1" applyBorder="1" applyProtection="1"/>
    <xf numFmtId="0" fontId="19" fillId="5" borderId="0" xfId="1" applyFont="1" applyFill="1" applyBorder="1" applyAlignment="1" applyProtection="1">
      <alignment horizontal="left"/>
    </xf>
    <xf numFmtId="0" fontId="2" fillId="5" borderId="0" xfId="1" applyFill="1" applyBorder="1" applyAlignment="1" applyProtection="1"/>
    <xf numFmtId="0" fontId="2" fillId="5" borderId="7" xfId="1" applyFont="1" applyFill="1" applyBorder="1"/>
    <xf numFmtId="0" fontId="30" fillId="3" borderId="0" xfId="1" applyFont="1" applyFill="1" applyAlignment="1">
      <alignment horizontal="center"/>
    </xf>
    <xf numFmtId="0" fontId="34" fillId="5" borderId="4" xfId="1" applyFont="1" applyFill="1" applyBorder="1" applyAlignment="1">
      <alignment horizontal="center"/>
    </xf>
    <xf numFmtId="0" fontId="40" fillId="2" borderId="0" xfId="3" applyFont="1" applyFill="1" applyBorder="1" applyAlignment="1">
      <alignment horizontal="center" wrapText="1"/>
    </xf>
    <xf numFmtId="0" fontId="34" fillId="5" borderId="4" xfId="1" applyFont="1" applyFill="1" applyBorder="1" applyAlignment="1" applyProtection="1">
      <alignment horizontal="center"/>
    </xf>
    <xf numFmtId="0" fontId="15" fillId="5" borderId="0" xfId="1" applyFont="1" applyFill="1" applyBorder="1" applyAlignment="1" applyProtection="1">
      <alignment horizontal="left"/>
    </xf>
    <xf numFmtId="0" fontId="23" fillId="5" borderId="4" xfId="1" applyFont="1" applyFill="1" applyBorder="1" applyAlignment="1" applyProtection="1"/>
    <xf numFmtId="0" fontId="41" fillId="2" borderId="0" xfId="1" applyFont="1" applyFill="1" applyBorder="1" applyAlignment="1">
      <alignment horizontal="center"/>
    </xf>
    <xf numFmtId="0" fontId="8" fillId="5" borderId="0" xfId="1" applyFont="1" applyFill="1" applyBorder="1" applyAlignment="1" applyProtection="1">
      <alignment horizontal="left"/>
    </xf>
    <xf numFmtId="0" fontId="37" fillId="5" borderId="0" xfId="3" applyFont="1" applyFill="1" applyBorder="1" applyAlignment="1">
      <alignment horizontal="center" wrapText="1"/>
    </xf>
    <xf numFmtId="0" fontId="42" fillId="2" borderId="16" xfId="1" applyFont="1" applyFill="1" applyBorder="1" applyAlignment="1" applyProtection="1">
      <alignment horizontal="center"/>
      <protection locked="0"/>
    </xf>
    <xf numFmtId="0" fontId="42" fillId="2" borderId="17" xfId="1" applyFont="1" applyFill="1" applyBorder="1" applyAlignment="1" applyProtection="1">
      <alignment horizontal="center"/>
      <protection locked="0"/>
    </xf>
    <xf numFmtId="0" fontId="42" fillId="2" borderId="18" xfId="1" applyFont="1" applyFill="1" applyBorder="1" applyAlignment="1" applyProtection="1">
      <alignment horizontal="center"/>
      <protection locked="0"/>
    </xf>
    <xf numFmtId="0" fontId="42" fillId="2" borderId="19" xfId="1" applyFont="1" applyFill="1" applyBorder="1" applyAlignment="1" applyProtection="1">
      <alignment horizontal="center"/>
      <protection locked="0"/>
    </xf>
    <xf numFmtId="0" fontId="37" fillId="5" borderId="4" xfId="1" applyFont="1" applyFill="1" applyBorder="1" applyAlignment="1">
      <alignment horizontal="center"/>
    </xf>
    <xf numFmtId="0" fontId="42" fillId="2" borderId="20" xfId="1" applyFont="1" applyFill="1" applyBorder="1" applyAlignment="1" applyProtection="1">
      <alignment horizontal="center"/>
      <protection locked="0"/>
    </xf>
    <xf numFmtId="0" fontId="44" fillId="2" borderId="0" xfId="3" applyFont="1" applyFill="1" applyBorder="1" applyAlignment="1">
      <alignment horizontal="center" wrapText="1"/>
    </xf>
    <xf numFmtId="0" fontId="37" fillId="5" borderId="7" xfId="1" applyFont="1" applyFill="1" applyBorder="1" applyAlignment="1">
      <alignment horizontal="center"/>
    </xf>
    <xf numFmtId="0" fontId="42" fillId="2" borderId="21" xfId="1" applyFont="1" applyFill="1" applyBorder="1" applyAlignment="1" applyProtection="1">
      <alignment horizontal="center"/>
      <protection locked="0"/>
    </xf>
    <xf numFmtId="0" fontId="44" fillId="2" borderId="0" xfId="1" applyFont="1" applyFill="1" applyBorder="1" applyAlignment="1">
      <alignment horizontal="center"/>
    </xf>
    <xf numFmtId="0" fontId="45" fillId="2" borderId="0" xfId="3" applyFont="1" applyFill="1" applyBorder="1" applyAlignment="1">
      <alignment horizontal="center" wrapText="1"/>
    </xf>
    <xf numFmtId="0" fontId="42" fillId="2" borderId="22" xfId="1" applyFont="1" applyFill="1" applyBorder="1" applyAlignment="1" applyProtection="1">
      <alignment horizontal="center"/>
      <protection locked="0"/>
    </xf>
    <xf numFmtId="0" fontId="42" fillId="2" borderId="23" xfId="1" applyFont="1" applyFill="1" applyBorder="1" applyAlignment="1" applyProtection="1">
      <alignment horizontal="center"/>
      <protection locked="0"/>
    </xf>
    <xf numFmtId="0" fontId="42" fillId="2" borderId="24" xfId="1" applyFont="1" applyFill="1" applyBorder="1" applyAlignment="1" applyProtection="1">
      <alignment horizontal="center"/>
      <protection locked="0"/>
    </xf>
    <xf numFmtId="0" fontId="42" fillId="2" borderId="25" xfId="1" applyFont="1" applyFill="1" applyBorder="1" applyAlignment="1" applyProtection="1">
      <alignment horizontal="center"/>
      <protection locked="0"/>
    </xf>
    <xf numFmtId="0" fontId="42" fillId="2" borderId="26" xfId="1" applyFont="1" applyFill="1" applyBorder="1" applyAlignment="1" applyProtection="1">
      <alignment horizontal="center"/>
      <protection locked="0"/>
    </xf>
    <xf numFmtId="0" fontId="42" fillId="2" borderId="27" xfId="1" applyFont="1" applyFill="1" applyBorder="1" applyAlignment="1" applyProtection="1">
      <alignment horizontal="center"/>
      <protection locked="0"/>
    </xf>
    <xf numFmtId="0" fontId="2" fillId="5" borderId="0" xfId="1" applyFill="1" applyBorder="1"/>
    <xf numFmtId="0" fontId="8" fillId="5" borderId="0" xfId="1" applyFont="1" applyFill="1" applyBorder="1" applyAlignment="1" applyProtection="1">
      <protection locked="0"/>
    </xf>
    <xf numFmtId="0" fontId="2" fillId="5" borderId="9" xfId="1" applyFont="1" applyFill="1" applyBorder="1"/>
    <xf numFmtId="0" fontId="2" fillId="5" borderId="10" xfId="1" applyFont="1" applyFill="1" applyBorder="1"/>
    <xf numFmtId="0" fontId="2" fillId="5" borderId="11" xfId="1" applyFont="1" applyFill="1" applyBorder="1"/>
    <xf numFmtId="0" fontId="2" fillId="5" borderId="10" xfId="1" applyFont="1" applyFill="1" applyBorder="1" applyProtection="1"/>
    <xf numFmtId="0" fontId="19" fillId="3" borderId="0" xfId="1" applyFont="1" applyFill="1" applyBorder="1" applyAlignment="1"/>
    <xf numFmtId="0" fontId="2" fillId="2" borderId="0" xfId="1" applyFont="1" applyFill="1" applyBorder="1"/>
    <xf numFmtId="0" fontId="2" fillId="0" borderId="28" xfId="1" applyFont="1" applyBorder="1" applyAlignment="1" applyProtection="1">
      <alignment horizontal="left"/>
    </xf>
    <xf numFmtId="0" fontId="8" fillId="7" borderId="1" xfId="1" applyFont="1" applyFill="1" applyBorder="1" applyProtection="1"/>
    <xf numFmtId="0" fontId="2" fillId="7" borderId="3" xfId="1" applyFont="1" applyFill="1" applyBorder="1"/>
    <xf numFmtId="0" fontId="8" fillId="7" borderId="4" xfId="1" applyFont="1" applyFill="1" applyBorder="1" applyProtection="1"/>
    <xf numFmtId="0" fontId="19" fillId="7" borderId="0" xfId="1" applyFont="1" applyFill="1" applyBorder="1" applyAlignment="1" applyProtection="1">
      <alignment horizontal="left"/>
    </xf>
    <xf numFmtId="0" fontId="2" fillId="7" borderId="0" xfId="1" applyFill="1" applyBorder="1" applyAlignment="1" applyProtection="1"/>
    <xf numFmtId="0" fontId="2" fillId="7" borderId="7" xfId="1" applyFont="1" applyFill="1" applyBorder="1"/>
    <xf numFmtId="0" fontId="46" fillId="2" borderId="0" xfId="4" applyFont="1" applyFill="1" applyBorder="1" applyAlignment="1">
      <alignment wrapText="1"/>
    </xf>
    <xf numFmtId="0" fontId="36" fillId="7" borderId="0" xfId="1" applyFont="1" applyFill="1" applyBorder="1" applyProtection="1"/>
    <xf numFmtId="0" fontId="8" fillId="7" borderId="0" xfId="1" applyFont="1" applyFill="1" applyBorder="1" applyProtection="1"/>
    <xf numFmtId="0" fontId="15" fillId="7" borderId="0" xfId="1" applyFont="1" applyFill="1" applyBorder="1" applyAlignment="1" applyProtection="1"/>
    <xf numFmtId="0" fontId="44" fillId="2" borderId="0" xfId="1" applyFont="1" applyFill="1" applyBorder="1" applyAlignment="1">
      <alignment horizontal="center" vertical="top"/>
    </xf>
    <xf numFmtId="0" fontId="15" fillId="7" borderId="0" xfId="1" applyFont="1" applyFill="1" applyBorder="1" applyAlignment="1" applyProtection="1">
      <alignment horizontal="right"/>
    </xf>
    <xf numFmtId="0" fontId="35" fillId="7" borderId="0" xfId="1" applyFont="1" applyFill="1" applyBorder="1" applyAlignment="1" applyProtection="1">
      <alignment horizontal="right"/>
    </xf>
    <xf numFmtId="0" fontId="8" fillId="7" borderId="0" xfId="1" applyFont="1" applyFill="1" applyProtection="1"/>
    <xf numFmtId="0" fontId="15" fillId="7" borderId="4" xfId="1" applyFont="1" applyFill="1" applyBorder="1" applyProtection="1"/>
    <xf numFmtId="0" fontId="35" fillId="8" borderId="5" xfId="1" applyFont="1" applyFill="1" applyBorder="1" applyAlignment="1" applyProtection="1">
      <alignment horizontal="center"/>
    </xf>
    <xf numFmtId="0" fontId="35" fillId="8" borderId="8" xfId="1" applyFont="1" applyFill="1" applyBorder="1" applyAlignment="1" applyProtection="1">
      <alignment horizontal="center"/>
    </xf>
    <xf numFmtId="0" fontId="34" fillId="7" borderId="4" xfId="1" applyFont="1" applyFill="1" applyBorder="1" applyAlignment="1" applyProtection="1">
      <alignment horizontal="center"/>
    </xf>
    <xf numFmtId="0" fontId="37" fillId="7" borderId="7" xfId="1" applyFont="1" applyFill="1" applyBorder="1" applyAlignment="1">
      <alignment horizontal="center" vertical="top"/>
    </xf>
    <xf numFmtId="0" fontId="42" fillId="2" borderId="29" xfId="1" applyFont="1" applyFill="1" applyBorder="1" applyAlignment="1" applyProtection="1">
      <alignment horizontal="center"/>
    </xf>
    <xf numFmtId="0" fontId="42" fillId="2" borderId="30" xfId="1" applyFont="1" applyFill="1" applyBorder="1" applyAlignment="1" applyProtection="1">
      <alignment horizontal="center"/>
    </xf>
    <xf numFmtId="0" fontId="34" fillId="7" borderId="4" xfId="1" applyFont="1" applyFill="1" applyBorder="1" applyAlignment="1">
      <alignment horizontal="center"/>
    </xf>
    <xf numFmtId="0" fontId="42" fillId="2" borderId="16" xfId="1" applyFont="1" applyFill="1" applyBorder="1" applyAlignment="1" applyProtection="1">
      <alignment horizontal="center"/>
    </xf>
    <xf numFmtId="0" fontId="42" fillId="2" borderId="17" xfId="1" applyFont="1" applyFill="1" applyBorder="1" applyAlignment="1" applyProtection="1">
      <alignment horizontal="center"/>
    </xf>
    <xf numFmtId="0" fontId="42" fillId="2" borderId="19" xfId="1" applyNumberFormat="1" applyFont="1" applyFill="1" applyBorder="1" applyAlignment="1" applyProtection="1">
      <alignment horizontal="center"/>
      <protection locked="0"/>
    </xf>
    <xf numFmtId="0" fontId="42" fillId="2" borderId="32" xfId="1" applyFont="1" applyFill="1" applyBorder="1" applyAlignment="1" applyProtection="1">
      <alignment horizontal="center"/>
    </xf>
    <xf numFmtId="0" fontId="37" fillId="7" borderId="4" xfId="1" applyFont="1" applyFill="1" applyBorder="1" applyAlignment="1">
      <alignment horizontal="center" vertical="top"/>
    </xf>
    <xf numFmtId="0" fontId="42" fillId="8" borderId="16" xfId="1" applyFont="1" applyFill="1" applyBorder="1" applyAlignment="1" applyProtection="1">
      <alignment horizontal="center"/>
      <protection locked="0"/>
    </xf>
    <xf numFmtId="0" fontId="42" fillId="8" borderId="17" xfId="1" applyFont="1" applyFill="1" applyBorder="1" applyAlignment="1" applyProtection="1">
      <alignment horizontal="center"/>
      <protection locked="0"/>
    </xf>
    <xf numFmtId="0" fontId="42" fillId="8" borderId="19" xfId="1" applyFont="1" applyFill="1" applyBorder="1" applyAlignment="1" applyProtection="1">
      <alignment horizontal="center"/>
      <protection locked="0"/>
    </xf>
    <xf numFmtId="0" fontId="37" fillId="7" borderId="7" xfId="1" applyFont="1" applyFill="1" applyBorder="1" applyAlignment="1">
      <alignment horizontal="center"/>
    </xf>
    <xf numFmtId="0" fontId="37" fillId="7" borderId="4" xfId="1" applyFont="1" applyFill="1" applyBorder="1" applyAlignment="1">
      <alignment horizontal="center"/>
    </xf>
    <xf numFmtId="0" fontId="8" fillId="7" borderId="0" xfId="1" applyFont="1" applyFill="1" applyBorder="1" applyAlignment="1" applyProtection="1">
      <protection locked="0"/>
    </xf>
    <xf numFmtId="0" fontId="2" fillId="7" borderId="9" xfId="1" applyFont="1" applyFill="1" applyBorder="1"/>
    <xf numFmtId="0" fontId="2" fillId="7" borderId="11" xfId="1" applyFont="1" applyFill="1" applyBorder="1"/>
    <xf numFmtId="0" fontId="2" fillId="7" borderId="10" xfId="1" applyFont="1" applyFill="1" applyBorder="1" applyProtection="1"/>
    <xf numFmtId="0" fontId="13" fillId="5" borderId="0" xfId="1" applyFont="1" applyFill="1" applyBorder="1" applyAlignment="1" applyProtection="1"/>
    <xf numFmtId="0" fontId="8" fillId="5" borderId="0" xfId="1" applyFont="1" applyFill="1" applyBorder="1" applyAlignment="1" applyProtection="1">
      <alignment horizontal="right"/>
    </xf>
    <xf numFmtId="0" fontId="42" fillId="2" borderId="17" xfId="1" applyFont="1" applyFill="1" applyBorder="1" applyAlignment="1" applyProtection="1">
      <alignment horizontal="center"/>
      <protection locked="0"/>
    </xf>
    <xf numFmtId="0" fontId="37" fillId="5" borderId="0" xfId="1" applyFont="1" applyFill="1" applyBorder="1" applyAlignment="1">
      <alignment horizontal="center"/>
    </xf>
    <xf numFmtId="0" fontId="49" fillId="0" borderId="0" xfId="1" applyFont="1" applyAlignment="1" applyProtection="1">
      <alignment horizontal="center"/>
    </xf>
    <xf numFmtId="0" fontId="48" fillId="3" borderId="0" xfId="1" applyFont="1" applyFill="1" applyAlignment="1">
      <alignment horizontal="center"/>
    </xf>
    <xf numFmtId="0" fontId="50" fillId="2" borderId="0" xfId="3" applyFont="1" applyFill="1" applyBorder="1" applyAlignment="1">
      <alignment horizontal="center" wrapText="1"/>
    </xf>
    <xf numFmtId="0" fontId="51" fillId="2" borderId="0" xfId="1" applyFont="1" applyFill="1" applyBorder="1" applyAlignment="1">
      <alignment horizontal="center"/>
    </xf>
    <xf numFmtId="0" fontId="52" fillId="2" borderId="0" xfId="3" applyFont="1" applyFill="1" applyBorder="1" applyAlignment="1">
      <alignment horizontal="center" wrapText="1"/>
    </xf>
    <xf numFmtId="0" fontId="52" fillId="2" borderId="0" xfId="1" applyFont="1" applyFill="1" applyBorder="1" applyAlignment="1">
      <alignment horizontal="center"/>
    </xf>
    <xf numFmtId="0" fontId="53" fillId="2" borderId="0" xfId="3" applyFont="1" applyFill="1" applyBorder="1" applyAlignment="1">
      <alignment horizontal="center" wrapText="1"/>
    </xf>
    <xf numFmtId="0" fontId="8" fillId="5" borderId="0" xfId="1" applyFont="1" applyFill="1" applyBorder="1" applyProtection="1"/>
    <xf numFmtId="0" fontId="42" fillId="2" borderId="16" xfId="1" applyFont="1" applyFill="1" applyBorder="1" applyAlignment="1" applyProtection="1">
      <alignment horizontal="center"/>
      <protection locked="0"/>
    </xf>
    <xf numFmtId="0" fontId="36" fillId="5" borderId="0" xfId="1" applyFont="1" applyFill="1" applyBorder="1" applyProtection="1"/>
    <xf numFmtId="0" fontId="15" fillId="5" borderId="0" xfId="1" applyFont="1" applyFill="1" applyBorder="1" applyAlignment="1" applyProtection="1">
      <alignment horizontal="right"/>
    </xf>
    <xf numFmtId="0" fontId="35" fillId="5" borderId="0" xfId="1" applyFont="1" applyFill="1" applyBorder="1" applyAlignment="1" applyProtection="1">
      <alignment horizontal="right"/>
    </xf>
    <xf numFmtId="0" fontId="30" fillId="2" borderId="0" xfId="1" applyFont="1" applyFill="1" applyBorder="1"/>
    <xf numFmtId="0" fontId="43" fillId="2" borderId="0" xfId="1" applyFont="1" applyFill="1" applyBorder="1" applyAlignment="1">
      <alignment horizontal="left"/>
    </xf>
    <xf numFmtId="0" fontId="43" fillId="2" borderId="0" xfId="1" applyFont="1" applyFill="1" applyBorder="1" applyAlignment="1" applyProtection="1"/>
    <xf numFmtId="0" fontId="43" fillId="2" borderId="0" xfId="1" applyFont="1" applyFill="1" applyBorder="1" applyAlignment="1" applyProtection="1">
      <alignment horizontal="left"/>
    </xf>
    <xf numFmtId="0" fontId="30" fillId="3" borderId="0" xfId="1" applyFont="1" applyFill="1"/>
    <xf numFmtId="0" fontId="33" fillId="2" borderId="0" xfId="1" applyFont="1" applyFill="1" applyBorder="1" applyAlignment="1" applyProtection="1"/>
    <xf numFmtId="0" fontId="33" fillId="2" borderId="0" xfId="1" applyFont="1" applyFill="1" applyBorder="1" applyProtection="1"/>
    <xf numFmtId="0" fontId="43" fillId="2" borderId="0" xfId="1" applyFont="1" applyFill="1" applyBorder="1"/>
    <xf numFmtId="0" fontId="30" fillId="2" borderId="0" xfId="1" applyFont="1" applyFill="1" applyBorder="1" applyProtection="1"/>
    <xf numFmtId="0" fontId="31" fillId="0" borderId="0" xfId="1" applyFont="1" applyProtection="1"/>
    <xf numFmtId="0" fontId="30" fillId="2" borderId="0" xfId="1" applyFont="1" applyFill="1" applyBorder="1" applyAlignment="1" applyProtection="1">
      <alignment horizontal="left"/>
    </xf>
    <xf numFmtId="0" fontId="43" fillId="2" borderId="0" xfId="1" applyFont="1" applyFill="1" applyBorder="1" applyProtection="1"/>
    <xf numFmtId="0" fontId="31" fillId="2" borderId="0" xfId="1" applyFont="1" applyFill="1" applyProtection="1"/>
    <xf numFmtId="0" fontId="30" fillId="2" borderId="0" xfId="1" applyFont="1" applyFill="1"/>
    <xf numFmtId="0" fontId="39" fillId="5" borderId="7" xfId="3" applyFont="1" applyFill="1" applyBorder="1" applyAlignment="1">
      <alignment horizontal="center" wrapText="1"/>
    </xf>
    <xf numFmtId="0" fontId="39" fillId="5" borderId="4" xfId="3" applyFont="1" applyFill="1" applyBorder="1" applyAlignment="1">
      <alignment horizontal="center" wrapText="1"/>
    </xf>
    <xf numFmtId="0" fontId="39" fillId="5" borderId="0" xfId="3" applyFont="1" applyFill="1" applyBorder="1" applyAlignment="1">
      <alignment horizontal="center" wrapText="1"/>
    </xf>
    <xf numFmtId="0" fontId="2" fillId="5" borderId="7" xfId="1" applyFill="1" applyBorder="1"/>
    <xf numFmtId="0" fontId="35" fillId="6" borderId="5" xfId="1" applyFont="1" applyFill="1" applyBorder="1" applyAlignment="1" applyProtection="1">
      <alignment horizontal="center"/>
    </xf>
    <xf numFmtId="0" fontId="35" fillId="6" borderId="8" xfId="1" applyFont="1" applyFill="1" applyBorder="1" applyAlignment="1" applyProtection="1">
      <alignment horizontal="center"/>
    </xf>
    <xf numFmtId="0" fontId="35" fillId="6" borderId="6" xfId="1" applyFont="1" applyFill="1" applyBorder="1" applyAlignment="1" applyProtection="1">
      <alignment horizontal="center"/>
    </xf>
    <xf numFmtId="0" fontId="13" fillId="5" borderId="0" xfId="1" applyFont="1" applyFill="1" applyBorder="1" applyAlignment="1" applyProtection="1">
      <alignment horizontal="center"/>
    </xf>
    <xf numFmtId="0" fontId="35" fillId="7" borderId="0" xfId="1" applyFont="1" applyFill="1" applyBorder="1" applyAlignment="1" applyProtection="1">
      <alignment horizontal="right"/>
    </xf>
    <xf numFmtId="0" fontId="56" fillId="7" borderId="0" xfId="4" applyFont="1" applyFill="1" applyBorder="1" applyAlignment="1">
      <alignment wrapText="1"/>
    </xf>
    <xf numFmtId="0" fontId="35" fillId="7" borderId="0" xfId="4" applyFont="1" applyFill="1" applyBorder="1" applyAlignment="1">
      <alignment horizontal="right" wrapText="1"/>
    </xf>
    <xf numFmtId="0" fontId="35" fillId="7" borderId="0" xfId="4" applyFont="1" applyFill="1" applyBorder="1" applyAlignment="1">
      <alignment wrapText="1"/>
    </xf>
    <xf numFmtId="0" fontId="35" fillId="8" borderId="6" xfId="1" applyFont="1" applyFill="1" applyBorder="1" applyAlignment="1" applyProtection="1">
      <alignment horizontal="right"/>
    </xf>
    <xf numFmtId="0" fontId="35" fillId="5" borderId="4" xfId="1" applyFont="1" applyFill="1" applyBorder="1" applyAlignment="1" applyProtection="1">
      <alignment horizontal="center"/>
    </xf>
    <xf numFmtId="0" fontId="35" fillId="5" borderId="0" xfId="1" applyFont="1" applyFill="1" applyBorder="1" applyAlignment="1" applyProtection="1">
      <alignment horizontal="center"/>
    </xf>
    <xf numFmtId="0" fontId="35" fillId="5" borderId="7" xfId="1" applyFont="1" applyFill="1" applyBorder="1" applyAlignment="1" applyProtection="1">
      <alignment horizontal="center"/>
    </xf>
    <xf numFmtId="0" fontId="47" fillId="7" borderId="7" xfId="4" applyFont="1" applyFill="1" applyBorder="1" applyAlignment="1">
      <alignment horizontal="center" wrapText="1"/>
    </xf>
    <xf numFmtId="0" fontId="47" fillId="7" borderId="4" xfId="4" applyFont="1" applyFill="1" applyBorder="1" applyAlignment="1">
      <alignment horizontal="center" wrapText="1"/>
    </xf>
    <xf numFmtId="164" fontId="42" fillId="2" borderId="19" xfId="1" applyNumberFormat="1" applyFont="1" applyFill="1" applyBorder="1" applyAlignment="1" applyProtection="1">
      <alignment horizontal="center"/>
      <protection locked="0"/>
    </xf>
    <xf numFmtId="1" fontId="42" fillId="2" borderId="31" xfId="1" applyNumberFormat="1" applyFont="1" applyFill="1" applyBorder="1" applyAlignment="1" applyProtection="1">
      <alignment horizontal="center"/>
      <protection locked="0"/>
    </xf>
    <xf numFmtId="1" fontId="42" fillId="2" borderId="19" xfId="1" applyNumberFormat="1" applyFont="1" applyFill="1" applyBorder="1" applyAlignment="1" applyProtection="1">
      <alignment horizontal="center"/>
      <protection locked="0"/>
    </xf>
    <xf numFmtId="1" fontId="2" fillId="0" borderId="5" xfId="1" applyNumberFormat="1" applyFont="1" applyFill="1" applyBorder="1" applyAlignment="1" applyProtection="1">
      <alignment horizontal="center"/>
      <protection hidden="1"/>
    </xf>
    <xf numFmtId="1" fontId="2" fillId="0" borderId="12" xfId="1" applyNumberFormat="1" applyFont="1" applyFill="1" applyBorder="1" applyAlignment="1" applyProtection="1">
      <alignment horizontal="center"/>
      <protection hidden="1"/>
    </xf>
    <xf numFmtId="164" fontId="8" fillId="7" borderId="14" xfId="1" applyNumberFormat="1" applyFont="1" applyFill="1" applyBorder="1" applyAlignment="1">
      <alignment horizontal="center"/>
    </xf>
    <xf numFmtId="164" fontId="8" fillId="7" borderId="15" xfId="1" applyNumberFormat="1" applyFont="1" applyFill="1" applyBorder="1" applyAlignment="1">
      <alignment horizontal="center"/>
    </xf>
    <xf numFmtId="165" fontId="8" fillId="7" borderId="11" xfId="1" applyNumberFormat="1" applyFont="1" applyFill="1" applyBorder="1" applyAlignment="1">
      <alignment horizontal="center"/>
    </xf>
    <xf numFmtId="2" fontId="14" fillId="7" borderId="0" xfId="1" applyNumberFormat="1" applyFont="1" applyFill="1" applyBorder="1" applyProtection="1"/>
    <xf numFmtId="2" fontId="14" fillId="5" borderId="0" xfId="1" applyNumberFormat="1" applyFont="1" applyFill="1" applyBorder="1" applyProtection="1"/>
    <xf numFmtId="165" fontId="8" fillId="7" borderId="7" xfId="1" applyNumberFormat="1" applyFont="1" applyFill="1" applyBorder="1" applyAlignment="1">
      <alignment horizontal="center"/>
    </xf>
    <xf numFmtId="165" fontId="8" fillId="5" borderId="7" xfId="1" applyNumberFormat="1" applyFont="1" applyFill="1" applyBorder="1" applyAlignment="1">
      <alignment horizontal="center"/>
    </xf>
    <xf numFmtId="165" fontId="8" fillId="5" borderId="11" xfId="1" applyNumberFormat="1" applyFont="1" applyFill="1" applyBorder="1" applyAlignment="1">
      <alignment horizontal="center"/>
    </xf>
    <xf numFmtId="1" fontId="42" fillId="2" borderId="25" xfId="1" applyNumberFormat="1" applyFont="1" applyFill="1" applyBorder="1" applyAlignment="1" applyProtection="1">
      <alignment horizontal="center"/>
      <protection locked="0"/>
    </xf>
    <xf numFmtId="164" fontId="42" fillId="2" borderId="20" xfId="1" applyNumberFormat="1" applyFont="1" applyFill="1" applyBorder="1" applyAlignment="1" applyProtection="1">
      <alignment horizontal="center"/>
      <protection locked="0"/>
    </xf>
    <xf numFmtId="0" fontId="34" fillId="7" borderId="7" xfId="1" applyFont="1" applyFill="1" applyBorder="1" applyAlignment="1">
      <alignment horizontal="center"/>
    </xf>
    <xf numFmtId="0" fontId="57" fillId="7" borderId="7" xfId="4" applyFont="1" applyFill="1" applyBorder="1" applyAlignment="1">
      <alignment horizontal="center"/>
    </xf>
    <xf numFmtId="0" fontId="35" fillId="7" borderId="0" xfId="4" applyFont="1" applyFill="1" applyBorder="1" applyAlignment="1">
      <alignment horizontal="right" wrapText="1"/>
    </xf>
    <xf numFmtId="0" fontId="35" fillId="7" borderId="0" xfId="1" applyFont="1" applyFill="1" applyBorder="1" applyAlignment="1" applyProtection="1"/>
    <xf numFmtId="0" fontId="42" fillId="2" borderId="33" xfId="1" applyFont="1" applyFill="1" applyBorder="1" applyAlignment="1" applyProtection="1">
      <alignment horizontal="center"/>
    </xf>
    <xf numFmtId="0" fontId="42" fillId="2" borderId="34" xfId="1" applyNumberFormat="1" applyFont="1" applyFill="1" applyBorder="1" applyAlignment="1" applyProtection="1">
      <alignment horizontal="center"/>
      <protection locked="0"/>
    </xf>
    <xf numFmtId="0" fontId="42" fillId="2" borderId="22" xfId="1" applyFont="1" applyFill="1" applyBorder="1" applyAlignment="1" applyProtection="1">
      <alignment horizontal="center"/>
    </xf>
    <xf numFmtId="0" fontId="42" fillId="2" borderId="23" xfId="1" applyFont="1" applyFill="1" applyBorder="1" applyAlignment="1" applyProtection="1">
      <alignment horizontal="center"/>
    </xf>
    <xf numFmtId="0" fontId="35" fillId="6" borderId="8" xfId="1" applyFont="1" applyFill="1" applyBorder="1" applyAlignment="1" applyProtection="1">
      <alignment horizontal="center"/>
    </xf>
    <xf numFmtId="0" fontId="2" fillId="2" borderId="0" xfId="1" applyFill="1"/>
    <xf numFmtId="0" fontId="2" fillId="0" borderId="0" xfId="1"/>
    <xf numFmtId="0" fontId="4" fillId="2" borderId="0" xfId="1" applyFont="1" applyFill="1" applyAlignment="1">
      <alignment vertical="top" wrapText="1"/>
    </xf>
    <xf numFmtId="0" fontId="4" fillId="2" borderId="0" xfId="1" applyFont="1" applyFill="1" applyAlignment="1">
      <alignment wrapText="1"/>
    </xf>
    <xf numFmtId="0" fontId="4" fillId="2" borderId="0" xfId="1" applyFont="1" applyFill="1" applyAlignment="1">
      <alignment horizontal="left" vertical="top" wrapText="1"/>
    </xf>
    <xf numFmtId="0" fontId="4" fillId="4" borderId="0" xfId="1" applyFont="1" applyFill="1" applyAlignment="1">
      <alignment vertical="top" wrapText="1"/>
    </xf>
    <xf numFmtId="0" fontId="37" fillId="7" borderId="0" xfId="1" applyFont="1" applyFill="1" applyBorder="1" applyAlignment="1">
      <alignment horizontal="center" vertical="top"/>
    </xf>
    <xf numFmtId="0" fontId="47" fillId="7" borderId="3" xfId="4" applyFont="1" applyFill="1" applyBorder="1" applyAlignment="1">
      <alignment horizontal="center" wrapText="1"/>
    </xf>
    <xf numFmtId="0" fontId="8" fillId="0" borderId="0" xfId="1" applyFont="1" applyProtection="1">
      <protection locked="0"/>
    </xf>
    <xf numFmtId="0" fontId="42" fillId="40" borderId="17" xfId="0" applyFont="1" applyFill="1" applyBorder="1" applyAlignment="1" applyProtection="1">
      <alignment horizontal="center"/>
      <protection locked="0"/>
    </xf>
    <xf numFmtId="1" fontId="42" fillId="40" borderId="20" xfId="0" applyNumberFormat="1" applyFont="1" applyFill="1" applyBorder="1" applyAlignment="1" applyProtection="1">
      <alignment horizontal="center"/>
      <protection locked="0"/>
    </xf>
    <xf numFmtId="0" fontId="19" fillId="2" borderId="0" xfId="1" applyFont="1" applyFill="1" applyAlignment="1">
      <alignment horizontal="left" wrapText="1"/>
    </xf>
    <xf numFmtId="0" fontId="2" fillId="2" borderId="9" xfId="1" applyFont="1" applyFill="1" applyBorder="1" applyAlignment="1" applyProtection="1">
      <alignment horizontal="center"/>
      <protection locked="0"/>
    </xf>
    <xf numFmtId="0" fontId="2" fillId="2" borderId="10" xfId="1" applyFont="1" applyFill="1" applyBorder="1" applyAlignment="1" applyProtection="1">
      <alignment horizontal="center"/>
      <protection locked="0"/>
    </xf>
    <xf numFmtId="0" fontId="2" fillId="2" borderId="11" xfId="1" applyFont="1" applyFill="1" applyBorder="1" applyAlignment="1" applyProtection="1">
      <alignment horizontal="center"/>
      <protection locked="0"/>
    </xf>
    <xf numFmtId="20" fontId="2" fillId="2" borderId="5" xfId="1" applyNumberFormat="1" applyFont="1" applyFill="1" applyBorder="1" applyAlignment="1" applyProtection="1">
      <alignment horizontal="center"/>
      <protection locked="0"/>
    </xf>
    <xf numFmtId="0" fontId="2" fillId="2" borderId="6" xfId="1" applyFont="1" applyFill="1" applyBorder="1" applyAlignment="1" applyProtection="1">
      <alignment horizontal="center"/>
      <protection locked="0"/>
    </xf>
    <xf numFmtId="0" fontId="10" fillId="5" borderId="9" xfId="1" applyFont="1" applyFill="1" applyBorder="1" applyAlignment="1" applyProtection="1">
      <alignment horizontal="center" wrapText="1"/>
    </xf>
    <xf numFmtId="0" fontId="2" fillId="5" borderId="10" xfId="1" applyFill="1" applyBorder="1" applyAlignment="1">
      <alignment horizontal="center"/>
    </xf>
    <xf numFmtId="0" fontId="2" fillId="5" borderId="11" xfId="1" applyFill="1" applyBorder="1" applyAlignment="1">
      <alignment horizontal="center"/>
    </xf>
    <xf numFmtId="0" fontId="2" fillId="2" borderId="5" xfId="1" applyFont="1" applyFill="1" applyBorder="1" applyAlignment="1" applyProtection="1">
      <alignment horizontal="left"/>
      <protection locked="0"/>
    </xf>
    <xf numFmtId="0" fontId="2" fillId="2" borderId="8" xfId="1" applyFont="1" applyFill="1" applyBorder="1" applyAlignment="1" applyProtection="1">
      <alignment horizontal="left"/>
      <protection locked="0"/>
    </xf>
    <xf numFmtId="0" fontId="2" fillId="2" borderId="6" xfId="1" applyFont="1" applyFill="1" applyBorder="1" applyAlignment="1" applyProtection="1">
      <alignment horizontal="left"/>
      <protection locked="0"/>
    </xf>
    <xf numFmtId="0" fontId="13" fillId="7" borderId="4" xfId="1" applyFont="1" applyFill="1" applyBorder="1" applyAlignment="1" applyProtection="1">
      <alignment horizontal="left" wrapText="1"/>
    </xf>
    <xf numFmtId="0" fontId="13" fillId="7" borderId="0" xfId="1" applyFont="1" applyFill="1" applyBorder="1" applyAlignment="1" applyProtection="1">
      <alignment horizontal="left" wrapText="1"/>
    </xf>
    <xf numFmtId="0" fontId="17" fillId="7" borderId="4" xfId="1" applyFont="1" applyFill="1" applyBorder="1" applyAlignment="1" applyProtection="1">
      <alignment horizontal="left" wrapText="1"/>
    </xf>
    <xf numFmtId="0" fontId="17" fillId="7" borderId="0" xfId="1" applyFont="1" applyFill="1" applyBorder="1" applyAlignment="1" applyProtection="1">
      <alignment horizontal="left" wrapText="1"/>
    </xf>
    <xf numFmtId="0" fontId="2" fillId="0" borderId="5" xfId="1" applyFont="1" applyFill="1" applyBorder="1" applyAlignment="1" applyProtection="1">
      <alignment horizontal="left"/>
      <protection locked="0"/>
    </xf>
    <xf numFmtId="0" fontId="2" fillId="0" borderId="8" xfId="1" applyFont="1" applyFill="1" applyBorder="1" applyAlignment="1" applyProtection="1">
      <alignment horizontal="left"/>
      <protection locked="0"/>
    </xf>
    <xf numFmtId="0" fontId="2" fillId="0" borderId="6" xfId="1" applyFont="1" applyFill="1" applyBorder="1" applyAlignment="1" applyProtection="1">
      <alignment horizontal="left"/>
      <protection locked="0"/>
    </xf>
    <xf numFmtId="0" fontId="14" fillId="2" borderId="0" xfId="1" applyFont="1" applyFill="1" applyBorder="1" applyAlignment="1" applyProtection="1">
      <alignment horizontal="left" wrapText="1"/>
    </xf>
    <xf numFmtId="0" fontId="19" fillId="3" borderId="0" xfId="1" applyFont="1" applyFill="1" applyAlignment="1">
      <alignment horizontal="center"/>
    </xf>
    <xf numFmtId="0" fontId="20" fillId="3" borderId="0" xfId="1" applyFont="1" applyFill="1" applyAlignment="1">
      <alignment horizontal="center"/>
    </xf>
    <xf numFmtId="0" fontId="9" fillId="5" borderId="1" xfId="1" applyFont="1" applyFill="1" applyBorder="1" applyAlignment="1" applyProtection="1"/>
    <xf numFmtId="0" fontId="9" fillId="5" borderId="2" xfId="1" applyFont="1" applyFill="1" applyBorder="1" applyAlignment="1" applyProtection="1"/>
    <xf numFmtId="0" fontId="2" fillId="5" borderId="2" xfId="1" applyFont="1" applyFill="1" applyBorder="1" applyAlignment="1" applyProtection="1">
      <alignment horizontal="center"/>
      <protection locked="0"/>
    </xf>
    <xf numFmtId="0" fontId="2" fillId="2" borderId="1" xfId="1" applyFont="1" applyFill="1" applyBorder="1" applyAlignment="1" applyProtection="1">
      <alignment horizontal="center"/>
      <protection locked="0"/>
    </xf>
    <xf numFmtId="0" fontId="2" fillId="2" borderId="2" xfId="1" applyFont="1" applyFill="1" applyBorder="1" applyAlignment="1" applyProtection="1">
      <alignment horizontal="center"/>
      <protection locked="0"/>
    </xf>
    <xf numFmtId="0" fontId="2" fillId="2" borderId="3" xfId="1" applyFont="1" applyFill="1" applyBorder="1" applyAlignment="1" applyProtection="1">
      <alignment horizontal="center"/>
      <protection locked="0"/>
    </xf>
    <xf numFmtId="0" fontId="2" fillId="2" borderId="5" xfId="1" applyFont="1" applyFill="1" applyBorder="1" applyAlignment="1" applyProtection="1">
      <alignment horizontal="center"/>
      <protection locked="0"/>
    </xf>
    <xf numFmtId="0" fontId="2" fillId="2" borderId="8" xfId="1" applyFont="1" applyFill="1" applyBorder="1" applyAlignment="1" applyProtection="1">
      <alignment horizontal="center"/>
      <protection locked="0"/>
    </xf>
    <xf numFmtId="14" fontId="2" fillId="2" borderId="5" xfId="1" applyNumberFormat="1" applyFont="1" applyFill="1" applyBorder="1" applyAlignment="1" applyProtection="1">
      <alignment horizontal="center"/>
      <protection locked="0"/>
    </xf>
    <xf numFmtId="0" fontId="10" fillId="2" borderId="5" xfId="1" applyFont="1" applyFill="1" applyBorder="1" applyAlignment="1">
      <alignment horizontal="center" wrapText="1"/>
    </xf>
    <xf numFmtId="0" fontId="10" fillId="2" borderId="8" xfId="1" applyFont="1" applyFill="1" applyBorder="1" applyAlignment="1">
      <alignment horizontal="center" wrapText="1"/>
    </xf>
    <xf numFmtId="0" fontId="10" fillId="2" borderId="6" xfId="1" applyFont="1" applyFill="1" applyBorder="1" applyAlignment="1">
      <alignment horizontal="center" wrapText="1"/>
    </xf>
    <xf numFmtId="0" fontId="24" fillId="2" borderId="0" xfId="1" applyFont="1" applyFill="1" applyBorder="1" applyAlignment="1">
      <alignment horizontal="center"/>
    </xf>
    <xf numFmtId="0" fontId="25" fillId="2" borderId="0" xfId="1" applyFont="1" applyFill="1" applyBorder="1" applyAlignment="1">
      <alignment horizontal="center"/>
    </xf>
    <xf numFmtId="0" fontId="24" fillId="3" borderId="0" xfId="1" applyFont="1" applyFill="1" applyBorder="1" applyAlignment="1">
      <alignment horizontal="center" vertical="center"/>
    </xf>
    <xf numFmtId="0" fontId="26" fillId="0" borderId="0" xfId="1" applyFont="1" applyAlignment="1">
      <alignment horizontal="center" vertical="center"/>
    </xf>
    <xf numFmtId="0" fontId="24" fillId="3" borderId="4" xfId="1" applyFont="1" applyFill="1" applyBorder="1" applyAlignment="1">
      <alignment horizontal="center"/>
    </xf>
    <xf numFmtId="0" fontId="2" fillId="0" borderId="0" xfId="1" applyBorder="1"/>
    <xf numFmtId="0" fontId="2" fillId="0" borderId="7" xfId="1" applyBorder="1"/>
    <xf numFmtId="0" fontId="19" fillId="3" borderId="0" xfId="1" applyFont="1" applyFill="1" applyAlignment="1">
      <alignment wrapText="1"/>
    </xf>
    <xf numFmtId="0" fontId="35" fillId="5" borderId="0" xfId="1" applyFont="1" applyFill="1" applyBorder="1" applyAlignment="1" applyProtection="1">
      <alignment horizontal="right"/>
    </xf>
    <xf numFmtId="0" fontId="35" fillId="5" borderId="4" xfId="1" applyFont="1" applyFill="1" applyBorder="1" applyAlignment="1" applyProtection="1">
      <alignment horizontal="center"/>
    </xf>
    <xf numFmtId="0" fontId="35" fillId="5" borderId="0" xfId="1" applyFont="1" applyFill="1" applyBorder="1" applyAlignment="1" applyProtection="1">
      <alignment horizontal="center"/>
    </xf>
    <xf numFmtId="0" fontId="35" fillId="5" borderId="7" xfId="1" applyFont="1" applyFill="1" applyBorder="1" applyAlignment="1" applyProtection="1">
      <alignment horizontal="center"/>
    </xf>
    <xf numFmtId="0" fontId="8" fillId="2" borderId="1" xfId="1" applyFont="1" applyFill="1" applyBorder="1" applyAlignment="1" applyProtection="1">
      <alignment horizontal="left" vertical="top" wrapText="1"/>
      <protection locked="0"/>
    </xf>
    <xf numFmtId="0" fontId="8" fillId="2" borderId="2" xfId="1" applyFont="1" applyFill="1" applyBorder="1" applyAlignment="1" applyProtection="1">
      <alignment horizontal="left" vertical="top" wrapText="1"/>
      <protection locked="0"/>
    </xf>
    <xf numFmtId="0" fontId="8" fillId="2" borderId="3" xfId="1" applyFont="1" applyFill="1" applyBorder="1" applyAlignment="1" applyProtection="1">
      <alignment horizontal="left" vertical="top" wrapText="1"/>
      <protection locked="0"/>
    </xf>
    <xf numFmtId="0" fontId="8" fillId="2" borderId="4" xfId="1" applyFont="1" applyFill="1" applyBorder="1" applyAlignment="1" applyProtection="1">
      <alignment horizontal="left" vertical="top" wrapText="1"/>
      <protection locked="0"/>
    </xf>
    <xf numFmtId="0" fontId="8" fillId="2" borderId="0" xfId="1" applyFont="1" applyFill="1" applyBorder="1" applyAlignment="1" applyProtection="1">
      <alignment horizontal="left" vertical="top" wrapText="1"/>
      <protection locked="0"/>
    </xf>
    <xf numFmtId="0" fontId="8" fillId="2" borderId="7" xfId="1" applyFont="1" applyFill="1" applyBorder="1" applyAlignment="1" applyProtection="1">
      <alignment horizontal="left" vertical="top" wrapText="1"/>
      <protection locked="0"/>
    </xf>
    <xf numFmtId="0" fontId="8" fillId="2" borderId="9" xfId="1" applyFont="1" applyFill="1" applyBorder="1" applyAlignment="1" applyProtection="1">
      <alignment horizontal="left" vertical="top" wrapText="1"/>
      <protection locked="0"/>
    </xf>
    <xf numFmtId="0" fontId="8" fillId="2" borderId="10" xfId="1" applyFont="1" applyFill="1" applyBorder="1" applyAlignment="1" applyProtection="1">
      <alignment horizontal="left" vertical="top" wrapText="1"/>
      <protection locked="0"/>
    </xf>
    <xf numFmtId="0" fontId="8" fillId="2" borderId="11" xfId="1" applyFont="1" applyFill="1" applyBorder="1" applyAlignment="1" applyProtection="1">
      <alignment horizontal="left" vertical="top" wrapText="1"/>
      <protection locked="0"/>
    </xf>
    <xf numFmtId="0" fontId="20" fillId="3" borderId="0" xfId="1" applyFont="1" applyFill="1" applyBorder="1" applyAlignment="1">
      <alignment horizontal="center"/>
    </xf>
    <xf numFmtId="0" fontId="36" fillId="5" borderId="2" xfId="1" applyFont="1" applyFill="1" applyBorder="1" applyAlignment="1" applyProtection="1">
      <alignment horizontal="left"/>
    </xf>
    <xf numFmtId="0" fontId="48" fillId="5" borderId="2" xfId="1" applyFont="1" applyFill="1" applyBorder="1" applyAlignment="1" applyProtection="1"/>
    <xf numFmtId="0" fontId="35" fillId="6" borderId="5" xfId="1" applyFont="1" applyFill="1" applyBorder="1" applyAlignment="1" applyProtection="1">
      <alignment horizontal="center"/>
    </xf>
    <xf numFmtId="0" fontId="35" fillId="6" borderId="8" xfId="1" applyFont="1" applyFill="1" applyBorder="1" applyAlignment="1" applyProtection="1">
      <alignment horizontal="center"/>
    </xf>
    <xf numFmtId="0" fontId="35" fillId="6" borderId="6" xfId="1" applyFont="1" applyFill="1" applyBorder="1" applyAlignment="1" applyProtection="1">
      <alignment horizontal="center"/>
    </xf>
    <xf numFmtId="0" fontId="13" fillId="5" borderId="0" xfId="1" applyFont="1" applyFill="1" applyBorder="1" applyAlignment="1" applyProtection="1">
      <alignment horizontal="center"/>
    </xf>
    <xf numFmtId="0" fontId="35" fillId="7" borderId="0" xfId="1" applyFont="1" applyFill="1" applyBorder="1" applyAlignment="1" applyProtection="1">
      <alignment horizontal="right"/>
    </xf>
    <xf numFmtId="0" fontId="35" fillId="8" borderId="5" xfId="1" applyFont="1" applyFill="1" applyBorder="1" applyAlignment="1" applyProtection="1">
      <alignment horizontal="center"/>
    </xf>
    <xf numFmtId="0" fontId="35" fillId="8" borderId="8" xfId="1" applyFont="1" applyFill="1" applyBorder="1" applyAlignment="1" applyProtection="1">
      <alignment horizontal="center"/>
    </xf>
    <xf numFmtId="0" fontId="35" fillId="8" borderId="6" xfId="1" applyFont="1" applyFill="1" applyBorder="1" applyAlignment="1" applyProtection="1">
      <alignment horizontal="center"/>
    </xf>
    <xf numFmtId="0" fontId="36" fillId="7" borderId="2" xfId="1" applyFont="1" applyFill="1" applyBorder="1" applyAlignment="1" applyProtection="1">
      <alignment horizontal="left"/>
    </xf>
    <xf numFmtId="0" fontId="48" fillId="7" borderId="2" xfId="1" applyFont="1" applyFill="1" applyBorder="1" applyAlignment="1" applyProtection="1"/>
    <xf numFmtId="0" fontId="13" fillId="7" borderId="0" xfId="1" applyFont="1" applyFill="1" applyBorder="1" applyAlignment="1" applyProtection="1">
      <alignment horizontal="center"/>
    </xf>
    <xf numFmtId="0" fontId="36" fillId="7" borderId="0" xfId="1" applyFont="1" applyFill="1" applyBorder="1" applyAlignment="1" applyProtection="1">
      <alignment horizontal="left" wrapText="1"/>
    </xf>
    <xf numFmtId="0" fontId="15" fillId="7" borderId="0" xfId="1" applyFont="1" applyFill="1" applyBorder="1" applyAlignment="1" applyProtection="1">
      <alignment horizontal="left"/>
    </xf>
  </cellXfs>
  <cellStyles count="66">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2" builtinId="27" customBuiltin="1"/>
    <cellStyle name="Calculation" xfId="16" builtinId="22" customBuiltin="1"/>
    <cellStyle name="Check Cell" xfId="18" builtinId="23" customBuiltin="1"/>
    <cellStyle name="Explanatory Text" xfId="20" builtinId="53" customBuilti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Input" xfId="14" builtinId="20" customBuiltin="1"/>
    <cellStyle name="Linked Cell" xfId="17" builtinId="24" customBuiltin="1"/>
    <cellStyle name="Neutral" xfId="13" builtinId="28" customBuiltin="1"/>
    <cellStyle name="Normal" xfId="0" builtinId="0"/>
    <cellStyle name="Normal 2" xfId="1"/>
    <cellStyle name="Normal 3" xfId="5"/>
    <cellStyle name="Normal 3 2" xfId="46"/>
    <cellStyle name="Normal_DADOS INVERTEBRADOS" xfId="4"/>
    <cellStyle name="Normal_Sheet1" xfId="3"/>
    <cellStyle name="Nota 2" xfId="47"/>
    <cellStyle name="Output" xfId="15" builtinId="21" customBuiltin="1"/>
    <cellStyle name="Porcentagem 2" xfId="2"/>
    <cellStyle name="Title" xfId="6" builtinId="15" customBuiltin="1"/>
    <cellStyle name="Total" xfId="21" builtinId="25" customBuiltin="1"/>
    <cellStyle name="Warning Text" xfId="19" builtinId="11" customBuiltin="1"/>
  </cellStyles>
  <dxfs count="0"/>
  <tableStyles count="0" defaultTableStyle="TableStyleMedium2" defaultPivotStyle="PivotStyleLight16"/>
  <colors>
    <mruColors>
      <color rgb="FF7DFF4F"/>
      <color rgb="FF80F2A6"/>
      <color rgb="FFEFFD99"/>
      <color rgb="FFE6FC64"/>
      <color rgb="FFD64AB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pt-BR" sz="1050" b="1" i="0" u="none" strike="noStrike" baseline="0">
                <a:solidFill>
                  <a:srgbClr val="000000"/>
                </a:solidFill>
                <a:latin typeface="Arial Narrow"/>
              </a:rPr>
              <a:t>Abundância Média de Peixes para RCB Taquaruçu 2m. 20/02/2019</a:t>
            </a:r>
            <a:endParaRPr lang="pt-BR" sz="1050" b="1" i="0" u="none" strike="noStrike" baseline="0">
              <a:solidFill>
                <a:srgbClr val="0000FF"/>
              </a:solidFill>
              <a:latin typeface="Arial Narrow"/>
            </a:endParaRPr>
          </a:p>
        </c:rich>
      </c:tx>
      <c:layout>
        <c:manualLayout>
          <c:xMode val="edge"/>
          <c:yMode val="edge"/>
          <c:x val="0.127049237516197"/>
          <c:y val="0.0153845896651454"/>
        </c:manualLayout>
      </c:layout>
      <c:overlay val="0"/>
      <c:spPr>
        <a:noFill/>
        <a:ln w="25400">
          <a:noFill/>
        </a:ln>
      </c:spPr>
    </c:title>
    <c:autoTitleDeleted val="0"/>
    <c:plotArea>
      <c:layout>
        <c:manualLayout>
          <c:layoutTarget val="inner"/>
          <c:xMode val="edge"/>
          <c:yMode val="edge"/>
          <c:x val="0.0868040326734861"/>
          <c:y val="0.114650273978911"/>
          <c:w val="0.907103825136612"/>
          <c:h val="0.622844540598561"/>
        </c:manualLayout>
      </c:layout>
      <c:barChart>
        <c:barDir val="col"/>
        <c:grouping val="clustered"/>
        <c:varyColors val="0"/>
        <c:ser>
          <c:idx val="0"/>
          <c:order val="0"/>
          <c:spPr>
            <a:solidFill>
              <a:srgbClr val="FF0000"/>
            </a:solidFill>
            <a:ln w="12700">
              <a:solidFill>
                <a:srgbClr val="000000"/>
              </a:solidFill>
              <a:prstDash val="solid"/>
            </a:ln>
          </c:spPr>
          <c:invertIfNegative val="0"/>
          <c:dPt>
            <c:idx val="0"/>
            <c:invertIfNegative val="0"/>
            <c:bubble3D val="0"/>
            <c:spPr>
              <a:solidFill>
                <a:schemeClr val="accent6"/>
              </a:solidFill>
              <a:ln w="12700">
                <a:solidFill>
                  <a:srgbClr val="000000"/>
                </a:solidFill>
                <a:prstDash val="solid"/>
              </a:ln>
              <a:effectLst>
                <a:outerShdw dist="35921" dir="2700000" algn="br">
                  <a:srgbClr val="000000"/>
                </a:outerShdw>
              </a:effectLst>
            </c:spPr>
          </c:dPt>
          <c:dPt>
            <c:idx val="1"/>
            <c:invertIfNegative val="0"/>
            <c:bubble3D val="0"/>
            <c:spPr>
              <a:solidFill>
                <a:schemeClr val="tx2"/>
              </a:solidFill>
              <a:ln w="12700">
                <a:solidFill>
                  <a:srgbClr val="000000"/>
                </a:solidFill>
                <a:prstDash val="solid"/>
              </a:ln>
              <a:effectLst>
                <a:outerShdw dist="35921" dir="2700000" algn="br">
                  <a:srgbClr val="000000"/>
                </a:outerShdw>
              </a:effectLst>
            </c:spPr>
          </c:dPt>
          <c:dPt>
            <c:idx val="2"/>
            <c:invertIfNegative val="0"/>
            <c:bubble3D val="0"/>
            <c:spPr>
              <a:solidFill>
                <a:schemeClr val="tx2">
                  <a:lumMod val="40000"/>
                  <a:lumOff val="60000"/>
                </a:schemeClr>
              </a:solidFill>
              <a:ln w="12700">
                <a:solidFill>
                  <a:srgbClr val="000000"/>
                </a:solidFill>
                <a:prstDash val="solid"/>
              </a:ln>
              <a:effectLst>
                <a:outerShdw dist="35921" dir="2700000" algn="br">
                  <a:srgbClr val="000000"/>
                </a:outerShdw>
              </a:effectLst>
            </c:spPr>
          </c:dPt>
          <c:dPt>
            <c:idx val="3"/>
            <c:invertIfNegative val="0"/>
            <c:bubble3D val="0"/>
            <c:spPr>
              <a:solidFill>
                <a:srgbClr val="996633"/>
              </a:solidFill>
              <a:ln w="12700">
                <a:solidFill>
                  <a:srgbClr val="000000"/>
                </a:solidFill>
                <a:prstDash val="solid"/>
              </a:ln>
              <a:effectLst>
                <a:outerShdw dist="35921" dir="2700000" algn="br">
                  <a:srgbClr val="000000"/>
                </a:outerShdw>
              </a:effectLst>
            </c:spPr>
          </c:dPt>
          <c:dPt>
            <c:idx val="4"/>
            <c:invertIfNegative val="0"/>
            <c:bubble3D val="0"/>
            <c:spPr>
              <a:solidFill>
                <a:schemeClr val="bg2">
                  <a:lumMod val="75000"/>
                </a:schemeClr>
              </a:solidFill>
              <a:ln w="12700">
                <a:solidFill>
                  <a:srgbClr val="000000"/>
                </a:solidFill>
                <a:prstDash val="solid"/>
              </a:ln>
              <a:effectLst>
                <a:outerShdw dist="35921" dir="2700000" algn="br">
                  <a:srgbClr val="000000"/>
                </a:outerShdw>
              </a:effectLst>
            </c:spPr>
          </c:dPt>
          <c:dPt>
            <c:idx val="5"/>
            <c:invertIfNegative val="0"/>
            <c:bubble3D val="0"/>
            <c:spPr>
              <a:solidFill>
                <a:srgbClr val="008080"/>
              </a:solidFill>
              <a:ln w="12700">
                <a:solidFill>
                  <a:srgbClr val="000000"/>
                </a:solidFill>
                <a:prstDash val="solid"/>
              </a:ln>
              <a:effectLst>
                <a:outerShdw dist="35921" dir="2700000" algn="br">
                  <a:srgbClr val="000000"/>
                </a:outerShdw>
              </a:effectLst>
            </c:spPr>
          </c:dPt>
          <c:dPt>
            <c:idx val="6"/>
            <c:invertIfNegative val="0"/>
            <c:bubble3D val="0"/>
            <c:spPr>
              <a:solidFill>
                <a:srgbClr val="333300"/>
              </a:solidFill>
              <a:ln w="12700">
                <a:solidFill>
                  <a:srgbClr val="000000"/>
                </a:solidFill>
                <a:prstDash val="solid"/>
              </a:ln>
              <a:effectLst>
                <a:outerShdw dist="35921" dir="2700000" algn="br">
                  <a:srgbClr val="000000"/>
                </a:outerShdw>
              </a:effectLst>
            </c:spPr>
          </c:dPt>
          <c:dPt>
            <c:idx val="7"/>
            <c:invertIfNegative val="0"/>
            <c:bubble3D val="0"/>
            <c:spPr>
              <a:solidFill>
                <a:srgbClr val="D64AB8"/>
              </a:solidFill>
              <a:ln w="12700">
                <a:solidFill>
                  <a:srgbClr val="000000"/>
                </a:solidFill>
                <a:prstDash val="solid"/>
              </a:ln>
              <a:effectLst>
                <a:outerShdw dist="35560" dir="2700000" algn="ctr" rotWithShape="0">
                  <a:srgbClr val="000000"/>
                </a:outerShdw>
              </a:effectLst>
            </c:spPr>
          </c:dPt>
          <c:dPt>
            <c:idx val="8"/>
            <c:invertIfNegative val="0"/>
            <c:bubble3D val="0"/>
            <c:spPr>
              <a:solidFill>
                <a:srgbClr val="00B050"/>
              </a:solidFill>
              <a:ln w="12700">
                <a:solidFill>
                  <a:srgbClr val="000000"/>
                </a:solidFill>
                <a:prstDash val="solid"/>
              </a:ln>
              <a:effectLst>
                <a:outerShdw dist="35560" dir="2700000" algn="ctr" rotWithShape="0">
                  <a:srgbClr val="000000"/>
                </a:outerShdw>
              </a:effectLst>
            </c:spPr>
          </c:dPt>
          <c:dPt>
            <c:idx val="9"/>
            <c:invertIfNegative val="0"/>
            <c:bubble3D val="0"/>
            <c:spPr>
              <a:solidFill>
                <a:srgbClr val="7DFF4F"/>
              </a:solidFill>
              <a:ln w="12700">
                <a:solidFill>
                  <a:srgbClr val="000000"/>
                </a:solidFill>
                <a:prstDash val="solid"/>
              </a:ln>
              <a:effectLst>
                <a:outerShdw dist="35560" dir="2700000" algn="ctr" rotWithShape="0">
                  <a:srgbClr val="000000"/>
                </a:outerShdw>
              </a:effectLst>
            </c:spPr>
          </c:dPt>
          <c:dPt>
            <c:idx val="10"/>
            <c:invertIfNegative val="0"/>
            <c:bubble3D val="0"/>
            <c:spPr>
              <a:solidFill>
                <a:schemeClr val="accent4"/>
              </a:solidFill>
              <a:ln w="12700">
                <a:solidFill>
                  <a:schemeClr val="tx1"/>
                </a:solidFill>
                <a:prstDash val="solid"/>
              </a:ln>
              <a:effectLst>
                <a:outerShdw dist="35560" dir="2700000" algn="ctr" rotWithShape="0">
                  <a:srgbClr val="000000"/>
                </a:outerShdw>
              </a:effectLst>
            </c:spPr>
          </c:dPt>
          <c:dPt>
            <c:idx val="11"/>
            <c:invertIfNegative val="0"/>
            <c:bubble3D val="0"/>
            <c:spPr>
              <a:solidFill>
                <a:schemeClr val="tx1">
                  <a:lumMod val="65000"/>
                  <a:lumOff val="35000"/>
                </a:schemeClr>
              </a:solidFill>
              <a:ln w="12700">
                <a:solidFill>
                  <a:srgbClr val="000000"/>
                </a:solidFill>
                <a:prstDash val="solid"/>
              </a:ln>
              <a:effectLst>
                <a:outerShdw dist="35560" dir="2700000" algn="ctr" rotWithShape="0">
                  <a:srgbClr val="000000"/>
                </a:outerShdw>
              </a:effectLst>
            </c:spPr>
          </c:dPt>
          <c:dPt>
            <c:idx val="12"/>
            <c:invertIfNegative val="0"/>
            <c:bubble3D val="0"/>
            <c:spPr>
              <a:solidFill>
                <a:srgbClr val="FF0000"/>
              </a:solidFill>
              <a:ln w="12700">
                <a:solidFill>
                  <a:srgbClr val="000000"/>
                </a:solidFill>
                <a:prstDash val="solid"/>
              </a:ln>
              <a:effectLst>
                <a:outerShdw dist="35560" dir="2700000" algn="ctr" rotWithShape="0">
                  <a:srgbClr val="000000"/>
                </a:outerShdw>
              </a:effectLst>
            </c:spPr>
          </c:dPt>
          <c:dPt>
            <c:idx val="13"/>
            <c:invertIfNegative val="0"/>
            <c:bubble3D val="0"/>
            <c:spPr>
              <a:solidFill>
                <a:srgbClr val="FFFF00"/>
              </a:solidFill>
              <a:ln w="12700">
                <a:solidFill>
                  <a:srgbClr val="000000"/>
                </a:solidFill>
                <a:prstDash val="solid"/>
              </a:ln>
              <a:effectLst>
                <a:outerShdw dist="35560" dir="1440000" algn="ctr" rotWithShape="0">
                  <a:srgbClr val="000000"/>
                </a:outerShdw>
              </a:effectLst>
            </c:spPr>
          </c:dPt>
          <c:dPt>
            <c:idx val="14"/>
            <c:invertIfNegative val="0"/>
            <c:bubble3D val="0"/>
            <c:spPr>
              <a:solidFill>
                <a:srgbClr val="EFFD99"/>
              </a:solidFill>
              <a:ln w="12700">
                <a:solidFill>
                  <a:srgbClr val="000000"/>
                </a:solidFill>
                <a:prstDash val="solid"/>
              </a:ln>
              <a:effectLst>
                <a:outerShdw dist="35560" dir="2700000" algn="ctr" rotWithShape="0">
                  <a:srgbClr val="000000"/>
                </a:outerShdw>
              </a:effectLst>
            </c:spPr>
          </c:dPt>
          <c:errBars>
            <c:errBarType val="both"/>
            <c:errValType val="cust"/>
            <c:noEndCap val="0"/>
            <c:plus>
              <c:numRef>
                <c:f>GRÁFICOS!$D$9:$D$23</c:f>
                <c:numCache>
                  <c:formatCode>General</c:formatCode>
                  <c:ptCount val="15"/>
                  <c:pt idx="0">
                    <c:v>4.564354645876384</c:v>
                  </c:pt>
                  <c:pt idx="1">
                    <c:v>0.0</c:v>
                  </c:pt>
                  <c:pt idx="2">
                    <c:v>12.47998397434868</c:v>
                  </c:pt>
                  <c:pt idx="3">
                    <c:v>0.0</c:v>
                  </c:pt>
                  <c:pt idx="4">
                    <c:v>0.25</c:v>
                  </c:pt>
                  <c:pt idx="5">
                    <c:v>0.0</c:v>
                  </c:pt>
                  <c:pt idx="6">
                    <c:v>0.0</c:v>
                  </c:pt>
                  <c:pt idx="7">
                    <c:v>2.273030282830975</c:v>
                  </c:pt>
                  <c:pt idx="8">
                    <c:v>0.0</c:v>
                  </c:pt>
                  <c:pt idx="9">
                    <c:v>2.0</c:v>
                  </c:pt>
                  <c:pt idx="10">
                    <c:v>0.0</c:v>
                  </c:pt>
                  <c:pt idx="11">
                    <c:v>0.25</c:v>
                  </c:pt>
                  <c:pt idx="12">
                    <c:v>0.957427107756338</c:v>
                  </c:pt>
                  <c:pt idx="13">
                    <c:v>0.0</c:v>
                  </c:pt>
                  <c:pt idx="14">
                    <c:v>13.12440474840669</c:v>
                  </c:pt>
                </c:numCache>
              </c:numRef>
            </c:plus>
            <c:minus>
              <c:numRef>
                <c:f>GRÁFICOS!$D$9:$D$23</c:f>
                <c:numCache>
                  <c:formatCode>General</c:formatCode>
                  <c:ptCount val="15"/>
                  <c:pt idx="0">
                    <c:v>4.564354645876384</c:v>
                  </c:pt>
                  <c:pt idx="1">
                    <c:v>0.0</c:v>
                  </c:pt>
                  <c:pt idx="2">
                    <c:v>12.47998397434868</c:v>
                  </c:pt>
                  <c:pt idx="3">
                    <c:v>0.0</c:v>
                  </c:pt>
                  <c:pt idx="4">
                    <c:v>0.25</c:v>
                  </c:pt>
                  <c:pt idx="5">
                    <c:v>0.0</c:v>
                  </c:pt>
                  <c:pt idx="6">
                    <c:v>0.0</c:v>
                  </c:pt>
                  <c:pt idx="7">
                    <c:v>2.273030282830975</c:v>
                  </c:pt>
                  <c:pt idx="8">
                    <c:v>0.0</c:v>
                  </c:pt>
                  <c:pt idx="9">
                    <c:v>2.0</c:v>
                  </c:pt>
                  <c:pt idx="10">
                    <c:v>0.0</c:v>
                  </c:pt>
                  <c:pt idx="11">
                    <c:v>0.25</c:v>
                  </c:pt>
                  <c:pt idx="12">
                    <c:v>0.957427107756338</c:v>
                  </c:pt>
                  <c:pt idx="13">
                    <c:v>0.0</c:v>
                  </c:pt>
                  <c:pt idx="14">
                    <c:v>13.12440474840669</c:v>
                  </c:pt>
                </c:numCache>
              </c:numRef>
            </c:minus>
            <c:spPr>
              <a:ln w="12700">
                <a:solidFill>
                  <a:srgbClr val="000000"/>
                </a:solidFill>
                <a:prstDash val="solid"/>
              </a:ln>
            </c:spPr>
          </c:errBars>
          <c:cat>
            <c:strRef>
              <c:f>GRÁFICOS!$B$9:$B$23</c:f>
              <c:strCache>
                <c:ptCount val="15"/>
                <c:pt idx="0">
                  <c:v>Borboletas</c:v>
                </c:pt>
                <c:pt idx="1">
                  <c:v>Cirurgiões &gt; 20 cm</c:v>
                </c:pt>
                <c:pt idx="2">
                  <c:v>Cirurgiões ≤ 20 cm</c:v>
                </c:pt>
                <c:pt idx="3">
                  <c:v>Garoupas &gt; 30 cm</c:v>
                </c:pt>
                <c:pt idx="4">
                  <c:v>Garoupas ≤ 30 cm</c:v>
                </c:pt>
                <c:pt idx="5">
                  <c:v>Mero</c:v>
                </c:pt>
                <c:pt idx="6">
                  <c:v>Móreias</c:v>
                </c:pt>
                <c:pt idx="7">
                  <c:v>Ornamentais</c:v>
                </c:pt>
                <c:pt idx="8">
                  <c:v>Papagaios &gt; 20 cm</c:v>
                </c:pt>
                <c:pt idx="9">
                  <c:v>Papagaios ≤ 20 cm</c:v>
                </c:pt>
                <c:pt idx="10">
                  <c:v>Raias</c:v>
                </c:pt>
                <c:pt idx="11">
                  <c:v>Tubarões</c:v>
                </c:pt>
                <c:pt idx="12">
                  <c:v>Vermelhos</c:v>
                </c:pt>
                <c:pt idx="13">
                  <c:v>Xiras &gt; 10 cm</c:v>
                </c:pt>
                <c:pt idx="14">
                  <c:v>Xiras ≤ 10 cm</c:v>
                </c:pt>
              </c:strCache>
            </c:strRef>
          </c:cat>
          <c:val>
            <c:numRef>
              <c:f>GRÁFICOS!$C$9:$C$23</c:f>
              <c:numCache>
                <c:formatCode>General</c:formatCode>
                <c:ptCount val="15"/>
                <c:pt idx="0">
                  <c:v>10.0</c:v>
                </c:pt>
                <c:pt idx="1">
                  <c:v>0.0</c:v>
                </c:pt>
                <c:pt idx="2">
                  <c:v>17.5</c:v>
                </c:pt>
                <c:pt idx="3">
                  <c:v>0.0</c:v>
                </c:pt>
                <c:pt idx="4">
                  <c:v>0.25</c:v>
                </c:pt>
                <c:pt idx="5">
                  <c:v>0.0</c:v>
                </c:pt>
                <c:pt idx="6">
                  <c:v>0.0</c:v>
                </c:pt>
                <c:pt idx="7">
                  <c:v>6.0</c:v>
                </c:pt>
                <c:pt idx="8">
                  <c:v>0.0</c:v>
                </c:pt>
                <c:pt idx="9">
                  <c:v>2.0</c:v>
                </c:pt>
                <c:pt idx="10">
                  <c:v>0.0</c:v>
                </c:pt>
                <c:pt idx="11">
                  <c:v>0.25</c:v>
                </c:pt>
                <c:pt idx="12">
                  <c:v>1.5</c:v>
                </c:pt>
                <c:pt idx="13">
                  <c:v>0.0</c:v>
                </c:pt>
                <c:pt idx="14">
                  <c:v>27.5</c:v>
                </c:pt>
              </c:numCache>
            </c:numRef>
          </c:val>
        </c:ser>
        <c:dLbls>
          <c:showLegendKey val="0"/>
          <c:showVal val="0"/>
          <c:showCatName val="0"/>
          <c:showSerName val="0"/>
          <c:showPercent val="0"/>
          <c:showBubbleSize val="0"/>
        </c:dLbls>
        <c:gapWidth val="150"/>
        <c:axId val="-2130389256"/>
        <c:axId val="-2130385992"/>
      </c:barChart>
      <c:catAx>
        <c:axId val="-2130389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25" b="1" i="0" u="none" strike="noStrike" baseline="0">
                <a:solidFill>
                  <a:srgbClr val="000000"/>
                </a:solidFill>
                <a:latin typeface="Arial Narrow"/>
                <a:ea typeface="Arial Narrow"/>
                <a:cs typeface="Arial Narrow"/>
              </a:defRPr>
            </a:pPr>
            <a:endParaRPr lang="en-US"/>
          </a:p>
        </c:txPr>
        <c:crossAx val="-2130385992"/>
        <c:crosses val="autoZero"/>
        <c:auto val="1"/>
        <c:lblAlgn val="ctr"/>
        <c:lblOffset val="100"/>
        <c:tickLblSkip val="1"/>
        <c:tickMarkSkip val="1"/>
        <c:noMultiLvlLbl val="0"/>
      </c:catAx>
      <c:valAx>
        <c:axId val="-2130385992"/>
        <c:scaling>
          <c:orientation val="minMax"/>
        </c:scaling>
        <c:delete val="0"/>
        <c:axPos val="l"/>
        <c:majorGridlines>
          <c:spPr>
            <a:ln w="3175">
              <a:solidFill>
                <a:srgbClr val="FFFFFF"/>
              </a:solidFill>
              <a:prstDash val="solid"/>
            </a:ln>
          </c:spPr>
        </c:majorGridlines>
        <c:title>
          <c:tx>
            <c:rich>
              <a:bodyPr/>
              <a:lstStyle/>
              <a:p>
                <a:pPr>
                  <a:defRPr sz="825" b="1" i="0" u="none" strike="noStrike" baseline="0">
                    <a:solidFill>
                      <a:srgbClr val="000000"/>
                    </a:solidFill>
                    <a:latin typeface="Arial Narrow"/>
                    <a:ea typeface="Arial Narrow"/>
                    <a:cs typeface="Arial Narrow"/>
                  </a:defRPr>
                </a:pPr>
                <a:r>
                  <a:rPr lang="pt-BR"/>
                  <a:t>Abundância Média +- EP</a:t>
                </a:r>
              </a:p>
            </c:rich>
          </c:tx>
          <c:layout>
            <c:manualLayout>
              <c:xMode val="edge"/>
              <c:yMode val="edge"/>
              <c:x val="0.0102458553440314"/>
              <c:y val="0.26437935703896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25" b="1" i="0" u="none" strike="noStrike" baseline="0">
                <a:solidFill>
                  <a:srgbClr val="000000"/>
                </a:solidFill>
                <a:latin typeface="Arial Narrow"/>
                <a:ea typeface="Arial Narrow"/>
                <a:cs typeface="Arial Narrow"/>
              </a:defRPr>
            </a:pPr>
            <a:endParaRPr lang="en-US"/>
          </a:p>
        </c:txPr>
        <c:crossAx val="-2130389256"/>
        <c:crosses val="autoZero"/>
        <c:crossBetween val="between"/>
        <c:majorUnit val="2.0"/>
        <c:minorUnit val="0.5"/>
      </c:valAx>
      <c:spPr>
        <a:solidFill>
          <a:srgbClr val="FFFFFF"/>
        </a:solidFill>
        <a:ln w="25400">
          <a:noFill/>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Narrow"/>
                <a:ea typeface="Arial Narrow"/>
                <a:cs typeface="Arial Narrow"/>
              </a:defRPr>
            </a:pPr>
            <a:r>
              <a:rPr lang="pt-BR" sz="1050" b="1" i="0" u="none" strike="noStrike" baseline="0">
                <a:solidFill>
                  <a:srgbClr val="000000"/>
                </a:solidFill>
                <a:latin typeface="Arial Narrow"/>
              </a:rPr>
              <a:t>Abundância Média de Invertebrados para RCB Taquaruçu, 2m , 20/02/2019</a:t>
            </a:r>
            <a:endParaRPr lang="pt-BR" sz="1050" b="1" i="0" u="none" strike="noStrike" baseline="0">
              <a:solidFill>
                <a:srgbClr val="0000FF"/>
              </a:solidFill>
              <a:latin typeface="Arial Narrow"/>
            </a:endParaRPr>
          </a:p>
        </c:rich>
      </c:tx>
      <c:layout>
        <c:manualLayout>
          <c:xMode val="edge"/>
          <c:yMode val="edge"/>
          <c:x val="0.19939838241223"/>
          <c:y val="0.0452102789476897"/>
        </c:manualLayout>
      </c:layout>
      <c:overlay val="0"/>
      <c:spPr>
        <a:noFill/>
        <a:ln w="25400">
          <a:noFill/>
        </a:ln>
      </c:spPr>
    </c:title>
    <c:autoTitleDeleted val="0"/>
    <c:plotArea>
      <c:layout>
        <c:manualLayout>
          <c:layoutTarget val="inner"/>
          <c:xMode val="edge"/>
          <c:yMode val="edge"/>
          <c:x val="0.101764207373765"/>
          <c:y val="0.149716577205038"/>
          <c:w val="0.868533886242276"/>
          <c:h val="0.497287019724542"/>
        </c:manualLayout>
      </c:layout>
      <c:barChart>
        <c:barDir val="col"/>
        <c:grouping val="clustered"/>
        <c:varyColors val="0"/>
        <c:ser>
          <c:idx val="0"/>
          <c:order val="0"/>
          <c:spPr>
            <a:solidFill>
              <a:srgbClr val="336666"/>
            </a:solidFill>
            <a:ln w="12700">
              <a:solidFill>
                <a:srgbClr val="000000"/>
              </a:solidFill>
              <a:prstDash val="solid"/>
            </a:ln>
          </c:spPr>
          <c:invertIfNegative val="0"/>
          <c:dPt>
            <c:idx val="0"/>
            <c:invertIfNegative val="0"/>
            <c:bubble3D val="0"/>
            <c:spPr>
              <a:solidFill>
                <a:srgbClr val="FF0000"/>
              </a:solidFill>
              <a:ln w="12700">
                <a:solidFill>
                  <a:srgbClr val="000000"/>
                </a:solidFill>
                <a:prstDash val="solid"/>
              </a:ln>
              <a:effectLst>
                <a:outerShdw dist="35921" dir="2700000" algn="br">
                  <a:srgbClr val="000000"/>
                </a:outerShdw>
              </a:effectLst>
            </c:spPr>
          </c:dPt>
          <c:dPt>
            <c:idx val="1"/>
            <c:invertIfNegative val="0"/>
            <c:bubble3D val="0"/>
            <c:spPr>
              <a:solidFill>
                <a:schemeClr val="accent5">
                  <a:lumMod val="40000"/>
                  <a:lumOff val="60000"/>
                </a:schemeClr>
              </a:solidFill>
              <a:ln w="12700">
                <a:solidFill>
                  <a:srgbClr val="000000"/>
                </a:solidFill>
                <a:prstDash val="solid"/>
              </a:ln>
              <a:effectLst>
                <a:outerShdw dist="35921" dir="2700000" algn="br">
                  <a:srgbClr val="000000"/>
                </a:outerShdw>
              </a:effectLst>
            </c:spPr>
          </c:dPt>
          <c:dPt>
            <c:idx val="2"/>
            <c:invertIfNegative val="0"/>
            <c:bubble3D val="0"/>
            <c:spPr>
              <a:solidFill>
                <a:srgbClr val="996666"/>
              </a:solidFill>
              <a:ln w="12700">
                <a:solidFill>
                  <a:srgbClr val="000000"/>
                </a:solidFill>
                <a:prstDash val="solid"/>
              </a:ln>
              <a:effectLst>
                <a:outerShdw dist="35921" dir="2700000" algn="br">
                  <a:srgbClr val="000000"/>
                </a:outerShdw>
              </a:effectLst>
            </c:spPr>
          </c:dPt>
          <c:dPt>
            <c:idx val="3"/>
            <c:invertIfNegative val="0"/>
            <c:bubble3D val="0"/>
            <c:spPr>
              <a:solidFill>
                <a:srgbClr val="FBF6B7"/>
              </a:solidFill>
              <a:ln w="12700">
                <a:solidFill>
                  <a:srgbClr val="000000"/>
                </a:solidFill>
                <a:prstDash val="solid"/>
              </a:ln>
              <a:effectLst>
                <a:outerShdw dist="35921" dir="2700000" algn="br">
                  <a:srgbClr val="000000"/>
                </a:outerShdw>
              </a:effectLst>
            </c:spPr>
          </c:dPt>
          <c:dPt>
            <c:idx val="4"/>
            <c:invertIfNegative val="0"/>
            <c:bubble3D val="0"/>
            <c:spPr>
              <a:solidFill>
                <a:srgbClr val="333300"/>
              </a:solidFill>
              <a:ln w="12700">
                <a:solidFill>
                  <a:srgbClr val="000000"/>
                </a:solidFill>
                <a:prstDash val="solid"/>
              </a:ln>
              <a:effectLst>
                <a:outerShdw dist="35921" dir="2700000" algn="br">
                  <a:srgbClr val="000000"/>
                </a:outerShdw>
              </a:effectLst>
            </c:spPr>
          </c:dPt>
          <c:dPt>
            <c:idx val="5"/>
            <c:invertIfNegative val="0"/>
            <c:bubble3D val="0"/>
            <c:spPr>
              <a:solidFill>
                <a:srgbClr val="D06616"/>
              </a:solidFill>
              <a:ln w="12700">
                <a:solidFill>
                  <a:srgbClr val="000000"/>
                </a:solidFill>
                <a:prstDash val="solid"/>
              </a:ln>
              <a:effectLst>
                <a:outerShdw dist="35921" dir="2700000" algn="br">
                  <a:srgbClr val="000000"/>
                </a:outerShdw>
              </a:effectLst>
            </c:spPr>
          </c:dPt>
          <c:dPt>
            <c:idx val="6"/>
            <c:invertIfNegative val="0"/>
            <c:bubble3D val="0"/>
            <c:spPr>
              <a:solidFill>
                <a:srgbClr val="8064A2"/>
              </a:solidFill>
              <a:ln w="12700">
                <a:solidFill>
                  <a:srgbClr val="000000"/>
                </a:solidFill>
                <a:prstDash val="solid"/>
              </a:ln>
              <a:effectLst>
                <a:outerShdw dist="35921" dir="2700000" algn="br">
                  <a:srgbClr val="000000"/>
                </a:outerShdw>
              </a:effectLst>
            </c:spPr>
          </c:dPt>
          <c:dPt>
            <c:idx val="7"/>
            <c:invertIfNegative val="0"/>
            <c:bubble3D val="0"/>
            <c:spPr>
              <a:solidFill>
                <a:srgbClr val="800000"/>
              </a:solidFill>
              <a:ln w="12700">
                <a:solidFill>
                  <a:srgbClr val="000000"/>
                </a:solidFill>
                <a:prstDash val="solid"/>
              </a:ln>
              <a:effectLst>
                <a:outerShdw dist="35921" dir="2700000" algn="br">
                  <a:srgbClr val="000000"/>
                </a:outerShdw>
              </a:effectLst>
            </c:spPr>
          </c:dPt>
          <c:dPt>
            <c:idx val="8"/>
            <c:invertIfNegative val="0"/>
            <c:bubble3D val="0"/>
            <c:spPr>
              <a:solidFill>
                <a:srgbClr val="92D050"/>
              </a:solidFill>
              <a:ln w="12700">
                <a:solidFill>
                  <a:srgbClr val="000000"/>
                </a:solidFill>
                <a:prstDash val="solid"/>
              </a:ln>
              <a:effectLst>
                <a:outerShdw dist="35560" dir="2700000" algn="ctr" rotWithShape="0">
                  <a:srgbClr val="000000"/>
                </a:outerShdw>
              </a:effectLst>
            </c:spPr>
          </c:dPt>
          <c:dPt>
            <c:idx val="9"/>
            <c:invertIfNegative val="0"/>
            <c:bubble3D val="0"/>
            <c:spPr>
              <a:solidFill>
                <a:schemeClr val="accent2">
                  <a:lumMod val="60000"/>
                  <a:lumOff val="40000"/>
                </a:schemeClr>
              </a:solidFill>
              <a:ln w="12700">
                <a:solidFill>
                  <a:srgbClr val="000000"/>
                </a:solidFill>
                <a:prstDash val="solid"/>
              </a:ln>
              <a:effectLst>
                <a:outerShdw dist="35560" dir="2700000" algn="ctr" rotWithShape="0">
                  <a:srgbClr val="000000"/>
                </a:outerShdw>
              </a:effectLst>
            </c:spPr>
          </c:dPt>
          <c:dPt>
            <c:idx val="10"/>
            <c:invertIfNegative val="0"/>
            <c:bubble3D val="0"/>
            <c:spPr>
              <a:solidFill>
                <a:schemeClr val="tx2">
                  <a:lumMod val="60000"/>
                  <a:lumOff val="40000"/>
                </a:schemeClr>
              </a:solidFill>
              <a:ln w="12700">
                <a:solidFill>
                  <a:srgbClr val="000000"/>
                </a:solidFill>
                <a:prstDash val="solid"/>
              </a:ln>
              <a:effectLst>
                <a:outerShdw dist="35560" dir="2700000" algn="ctr" rotWithShape="0">
                  <a:srgbClr val="000000"/>
                </a:outerShdw>
              </a:effectLst>
            </c:spPr>
          </c:dPt>
          <c:dPt>
            <c:idx val="11"/>
            <c:invertIfNegative val="0"/>
            <c:bubble3D val="0"/>
            <c:spPr>
              <a:solidFill>
                <a:srgbClr val="7030A0"/>
              </a:solidFill>
              <a:ln w="12700">
                <a:solidFill>
                  <a:srgbClr val="000000"/>
                </a:solidFill>
                <a:prstDash val="solid"/>
              </a:ln>
              <a:effectLst>
                <a:outerShdw dist="35560" dir="2700000" algn="ctr" rotWithShape="0">
                  <a:srgbClr val="000000"/>
                </a:outerShdw>
              </a:effectLst>
            </c:spPr>
          </c:dPt>
          <c:errBars>
            <c:errBarType val="both"/>
            <c:errValType val="cust"/>
            <c:noEndCap val="0"/>
            <c:plus>
              <c:numRef>
                <c:f>GRÁFICOS!$D$42:$D$53</c:f>
                <c:numCache>
                  <c:formatCode>General</c:formatCode>
                  <c:ptCount val="12"/>
                  <c:pt idx="0">
                    <c:v>0.288675134594813</c:v>
                  </c:pt>
                  <c:pt idx="1">
                    <c:v>0.25</c:v>
                  </c:pt>
                  <c:pt idx="2">
                    <c:v>0.0</c:v>
                  </c:pt>
                  <c:pt idx="3">
                    <c:v>0.25</c:v>
                  </c:pt>
                  <c:pt idx="4">
                    <c:v>13.51773526396588</c:v>
                  </c:pt>
                  <c:pt idx="5">
                    <c:v>0.25</c:v>
                  </c:pt>
                  <c:pt idx="6">
                    <c:v>0.0</c:v>
                  </c:pt>
                  <c:pt idx="7">
                    <c:v>1.892969448600091</c:v>
                  </c:pt>
                  <c:pt idx="8">
                    <c:v>0.0</c:v>
                  </c:pt>
                  <c:pt idx="9">
                    <c:v>0.0</c:v>
                  </c:pt>
                  <c:pt idx="10">
                    <c:v>0.0</c:v>
                  </c:pt>
                  <c:pt idx="11">
                    <c:v>0.25</c:v>
                  </c:pt>
                </c:numCache>
              </c:numRef>
            </c:plus>
            <c:minus>
              <c:numRef>
                <c:f>GRÁFICOS!$D$42:$D$53</c:f>
                <c:numCache>
                  <c:formatCode>General</c:formatCode>
                  <c:ptCount val="12"/>
                  <c:pt idx="0">
                    <c:v>0.288675134594813</c:v>
                  </c:pt>
                  <c:pt idx="1">
                    <c:v>0.25</c:v>
                  </c:pt>
                  <c:pt idx="2">
                    <c:v>0.0</c:v>
                  </c:pt>
                  <c:pt idx="3">
                    <c:v>0.25</c:v>
                  </c:pt>
                  <c:pt idx="4">
                    <c:v>13.51773526396588</c:v>
                  </c:pt>
                  <c:pt idx="5">
                    <c:v>0.25</c:v>
                  </c:pt>
                  <c:pt idx="6">
                    <c:v>0.0</c:v>
                  </c:pt>
                  <c:pt idx="7">
                    <c:v>1.892969448600091</c:v>
                  </c:pt>
                  <c:pt idx="8">
                    <c:v>0.0</c:v>
                  </c:pt>
                  <c:pt idx="9">
                    <c:v>0.0</c:v>
                  </c:pt>
                  <c:pt idx="10">
                    <c:v>0.0</c:v>
                  </c:pt>
                  <c:pt idx="11">
                    <c:v>0.25</c:v>
                  </c:pt>
                </c:numCache>
              </c:numRef>
            </c:minus>
            <c:spPr>
              <a:ln w="12700">
                <a:solidFill>
                  <a:srgbClr val="000000"/>
                </a:solidFill>
                <a:prstDash val="solid"/>
              </a:ln>
            </c:spPr>
          </c:errBars>
          <c:cat>
            <c:strRef>
              <c:f>GRÁFICOS!$B$42:$B$53</c:f>
              <c:strCache>
                <c:ptCount val="12"/>
                <c:pt idx="0">
                  <c:v>Anêmona</c:v>
                </c:pt>
                <c:pt idx="1">
                  <c:v>Búzio</c:v>
                </c:pt>
                <c:pt idx="2">
                  <c:v>Camarão-palhaço</c:v>
                </c:pt>
                <c:pt idx="3">
                  <c:v>Estrela-do-mar</c:v>
                </c:pt>
                <c:pt idx="4">
                  <c:v>Gorgônia</c:v>
                </c:pt>
                <c:pt idx="5">
                  <c:v>Lagosta</c:v>
                </c:pt>
                <c:pt idx="6">
                  <c:v>Ouriço branco</c:v>
                </c:pt>
                <c:pt idx="7">
                  <c:v>Ouriço comum (n/m2)</c:v>
                </c:pt>
                <c:pt idx="8">
                  <c:v>Ouriço diadema</c:v>
                </c:pt>
                <c:pt idx="9">
                  <c:v>Ouriço satélite</c:v>
                </c:pt>
                <c:pt idx="10">
                  <c:v>Poliqueta-de-fogo</c:v>
                </c:pt>
                <c:pt idx="11">
                  <c:v>Polvo</c:v>
                </c:pt>
              </c:strCache>
            </c:strRef>
          </c:cat>
          <c:val>
            <c:numRef>
              <c:f>GRÁFICOS!$C$42:$C$53</c:f>
              <c:numCache>
                <c:formatCode>General</c:formatCode>
                <c:ptCount val="12"/>
                <c:pt idx="0">
                  <c:v>0.5</c:v>
                </c:pt>
                <c:pt idx="1">
                  <c:v>0.25</c:v>
                </c:pt>
                <c:pt idx="2">
                  <c:v>0.0</c:v>
                </c:pt>
                <c:pt idx="3">
                  <c:v>0.25</c:v>
                </c:pt>
                <c:pt idx="4">
                  <c:v>78.25</c:v>
                </c:pt>
                <c:pt idx="5">
                  <c:v>0.25</c:v>
                </c:pt>
                <c:pt idx="6">
                  <c:v>0.0</c:v>
                </c:pt>
                <c:pt idx="7">
                  <c:v>12.5</c:v>
                </c:pt>
                <c:pt idx="8">
                  <c:v>0.0</c:v>
                </c:pt>
                <c:pt idx="9">
                  <c:v>0.0</c:v>
                </c:pt>
                <c:pt idx="10">
                  <c:v>0.0</c:v>
                </c:pt>
                <c:pt idx="11">
                  <c:v>0.25</c:v>
                </c:pt>
              </c:numCache>
            </c:numRef>
          </c:val>
        </c:ser>
        <c:dLbls>
          <c:showLegendKey val="0"/>
          <c:showVal val="0"/>
          <c:showCatName val="0"/>
          <c:showSerName val="0"/>
          <c:showPercent val="0"/>
          <c:showBubbleSize val="0"/>
        </c:dLbls>
        <c:gapWidth val="150"/>
        <c:axId val="-2130705176"/>
        <c:axId val="-2130701912"/>
      </c:barChart>
      <c:catAx>
        <c:axId val="-213070517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1" i="0" u="none" strike="noStrike" baseline="0">
                <a:solidFill>
                  <a:srgbClr val="000000"/>
                </a:solidFill>
                <a:latin typeface="Arial Narrow"/>
                <a:ea typeface="Arial Narrow"/>
                <a:cs typeface="Arial Narrow"/>
              </a:defRPr>
            </a:pPr>
            <a:endParaRPr lang="en-US"/>
          </a:p>
        </c:txPr>
        <c:crossAx val="-2130701912"/>
        <c:crosses val="autoZero"/>
        <c:auto val="1"/>
        <c:lblAlgn val="ctr"/>
        <c:lblOffset val="100"/>
        <c:tickLblSkip val="1"/>
        <c:tickMarkSkip val="1"/>
        <c:noMultiLvlLbl val="0"/>
      </c:catAx>
      <c:valAx>
        <c:axId val="-2130701912"/>
        <c:scaling>
          <c:orientation val="minMax"/>
        </c:scaling>
        <c:delete val="0"/>
        <c:axPos val="l"/>
        <c:majorGridlines>
          <c:spPr>
            <a:ln w="3175">
              <a:solidFill>
                <a:srgbClr val="FFFFFF"/>
              </a:solidFill>
              <a:prstDash val="solid"/>
            </a:ln>
          </c:spPr>
        </c:majorGridlines>
        <c:title>
          <c:tx>
            <c:rich>
              <a:bodyPr/>
              <a:lstStyle/>
              <a:p>
                <a:pPr>
                  <a:defRPr sz="800" b="1" i="0" u="none" strike="noStrike" baseline="0">
                    <a:solidFill>
                      <a:srgbClr val="000000"/>
                    </a:solidFill>
                    <a:latin typeface="Arial Narrow"/>
                    <a:ea typeface="Arial Narrow"/>
                    <a:cs typeface="Arial Narrow"/>
                  </a:defRPr>
                </a:pPr>
                <a:r>
                  <a:rPr lang="pt-BR"/>
                  <a:t>Abundância Média +-EP</a:t>
                </a:r>
              </a:p>
            </c:rich>
          </c:tx>
          <c:layout>
            <c:manualLayout>
              <c:xMode val="edge"/>
              <c:yMode val="edge"/>
              <c:x val="0.0099010194258633"/>
              <c:y val="0.29538458855433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Narrow"/>
                <a:ea typeface="Arial Narrow"/>
                <a:cs typeface="Arial Narrow"/>
              </a:defRPr>
            </a:pPr>
            <a:endParaRPr lang="en-US"/>
          </a:p>
        </c:txPr>
        <c:crossAx val="-2130705176"/>
        <c:crosses val="autoZero"/>
        <c:crossBetween val="between"/>
      </c:valAx>
      <c:spPr>
        <a:solidFill>
          <a:srgbClr val="FFFFFF"/>
        </a:solidFill>
        <a:ln w="25400">
          <a:noFill/>
        </a:ln>
      </c:spPr>
    </c:plotArea>
    <c:plotVisOnly val="1"/>
    <c:dispBlanksAs val="gap"/>
    <c:showDLblsOverMax val="0"/>
  </c:chart>
  <c:spPr>
    <a:solidFill>
      <a:srgbClr val="FFFFFF"/>
    </a:solidFill>
    <a:ln w="9525">
      <a:noFill/>
    </a:ln>
  </c:spPr>
  <c:txPr>
    <a:bodyPr/>
    <a:lstStyle/>
    <a:p>
      <a:pPr>
        <a:defRPr sz="900"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Narrow"/>
                <a:ea typeface="Arial Narrow"/>
                <a:cs typeface="Arial Narrow"/>
              </a:defRPr>
            </a:pPr>
            <a:r>
              <a:rPr lang="pt-BR" sz="850" b="1" i="0" u="none" strike="noStrike" baseline="0">
                <a:solidFill>
                  <a:srgbClr val="000000"/>
                </a:solidFill>
                <a:latin typeface="Arial Narrow"/>
              </a:rPr>
              <a:t>Incidência de Impactos para RCB Taquaruçu, 2m 20/02/2018</a:t>
            </a:r>
            <a:endParaRPr lang="pt-BR" sz="850" b="1" i="0" u="none" strike="noStrike" baseline="0">
              <a:solidFill>
                <a:srgbClr val="0000FF"/>
              </a:solidFill>
              <a:latin typeface="Arial Narrow"/>
            </a:endParaRPr>
          </a:p>
        </c:rich>
      </c:tx>
      <c:layout>
        <c:manualLayout>
          <c:xMode val="edge"/>
          <c:yMode val="edge"/>
          <c:x val="0.163842475199075"/>
          <c:y val="0.0329671648186834"/>
        </c:manualLayout>
      </c:layout>
      <c:overlay val="0"/>
      <c:spPr>
        <a:noFill/>
        <a:ln w="25400">
          <a:noFill/>
        </a:ln>
      </c:spPr>
    </c:title>
    <c:autoTitleDeleted val="0"/>
    <c:plotArea>
      <c:layout>
        <c:manualLayout>
          <c:layoutTarget val="inner"/>
          <c:xMode val="edge"/>
          <c:yMode val="edge"/>
          <c:x val="0.146893060593939"/>
          <c:y val="0.177554252526945"/>
          <c:w val="0.824861032565967"/>
          <c:h val="0.529337425054878"/>
        </c:manualLayout>
      </c:layout>
      <c:barChart>
        <c:barDir val="col"/>
        <c:grouping val="clustered"/>
        <c:varyColors val="0"/>
        <c:ser>
          <c:idx val="0"/>
          <c:order val="0"/>
          <c:spPr>
            <a:solidFill>
              <a:srgbClr val="8080FF"/>
            </a:solidFill>
            <a:ln w="12700">
              <a:solidFill>
                <a:srgbClr val="000000"/>
              </a:solidFill>
              <a:prstDash val="solid"/>
            </a:ln>
          </c:spPr>
          <c:invertIfNegative val="0"/>
          <c:dPt>
            <c:idx val="0"/>
            <c:invertIfNegative val="0"/>
            <c:bubble3D val="0"/>
            <c:spPr>
              <a:solidFill>
                <a:srgbClr val="808080"/>
              </a:solidFill>
              <a:ln w="12700">
                <a:solidFill>
                  <a:srgbClr val="000000"/>
                </a:solidFill>
                <a:prstDash val="solid"/>
              </a:ln>
              <a:effectLst>
                <a:outerShdw dist="35921" dir="2700000" algn="br">
                  <a:srgbClr val="000000"/>
                </a:outerShdw>
              </a:effectLst>
            </c:spPr>
          </c:dPt>
          <c:dPt>
            <c:idx val="1"/>
            <c:invertIfNegative val="0"/>
            <c:bubble3D val="0"/>
            <c:spPr>
              <a:solidFill>
                <a:schemeClr val="bg1">
                  <a:lumMod val="75000"/>
                </a:schemeClr>
              </a:solidFill>
              <a:ln w="12700">
                <a:solidFill>
                  <a:srgbClr val="000000"/>
                </a:solidFill>
                <a:prstDash val="solid"/>
              </a:ln>
              <a:effectLst>
                <a:outerShdw dist="35921" dir="2700000" algn="br">
                  <a:srgbClr val="000000"/>
                </a:outerShdw>
              </a:effectLst>
            </c:spPr>
          </c:dPt>
          <c:dPt>
            <c:idx val="2"/>
            <c:invertIfNegative val="0"/>
            <c:bubble3D val="0"/>
            <c:spPr>
              <a:solidFill>
                <a:srgbClr val="E3E3E3"/>
              </a:solidFill>
              <a:ln w="12700">
                <a:solidFill>
                  <a:srgbClr val="000000"/>
                </a:solidFill>
                <a:prstDash val="solid"/>
              </a:ln>
              <a:effectLst>
                <a:outerShdw dist="35921" dir="2700000" algn="br">
                  <a:srgbClr val="000000"/>
                </a:outerShdw>
              </a:effectLst>
            </c:spPr>
          </c:dPt>
          <c:dPt>
            <c:idx val="3"/>
            <c:invertIfNegative val="0"/>
            <c:bubble3D val="0"/>
            <c:spPr>
              <a:solidFill>
                <a:srgbClr val="996666"/>
              </a:solidFill>
              <a:ln w="12700">
                <a:solidFill>
                  <a:srgbClr val="000000"/>
                </a:solidFill>
                <a:prstDash val="solid"/>
              </a:ln>
              <a:effectLst>
                <a:outerShdw dist="35921" dir="2700000" algn="br">
                  <a:srgbClr val="000000"/>
                </a:outerShdw>
              </a:effectLst>
            </c:spPr>
          </c:dPt>
          <c:errBars>
            <c:errBarType val="both"/>
            <c:errValType val="cust"/>
            <c:noEndCap val="0"/>
            <c:plus>
              <c:numRef>
                <c:f>GRÁFICOS!$D$58:$D$62</c:f>
                <c:numCache>
                  <c:formatCode>General</c:formatCode>
                  <c:ptCount val="5"/>
                  <c:pt idx="0">
                    <c:v>0.0</c:v>
                  </c:pt>
                  <c:pt idx="1">
                    <c:v>0.0</c:v>
                  </c:pt>
                  <c:pt idx="2">
                    <c:v>0.0</c:v>
                  </c:pt>
                  <c:pt idx="3">
                    <c:v>0.0</c:v>
                  </c:pt>
                  <c:pt idx="4">
                    <c:v>0.0</c:v>
                  </c:pt>
                </c:numCache>
              </c:numRef>
            </c:plus>
            <c:minus>
              <c:numRef>
                <c:f>GRÁFICOS!$D$58:$D$62</c:f>
                <c:numCache>
                  <c:formatCode>General</c:formatCode>
                  <c:ptCount val="5"/>
                  <c:pt idx="0">
                    <c:v>0.0</c:v>
                  </c:pt>
                  <c:pt idx="1">
                    <c:v>0.0</c:v>
                  </c:pt>
                  <c:pt idx="2">
                    <c:v>0.0</c:v>
                  </c:pt>
                  <c:pt idx="3">
                    <c:v>0.0</c:v>
                  </c:pt>
                  <c:pt idx="4">
                    <c:v>0.0</c:v>
                  </c:pt>
                </c:numCache>
              </c:numRef>
            </c:minus>
            <c:spPr>
              <a:ln w="12700">
                <a:solidFill>
                  <a:srgbClr val="000000"/>
                </a:solidFill>
                <a:prstDash val="solid"/>
              </a:ln>
            </c:spPr>
          </c:errBars>
          <c:cat>
            <c:strRef>
              <c:f>GRÁFICOS!$B$58:$B$62</c:f>
              <c:strCache>
                <c:ptCount val="5"/>
                <c:pt idx="0">
                  <c:v>Coral quebrado_x000d_(âncora/remo)</c:v>
                </c:pt>
                <c:pt idx="1">
                  <c:v>Coral quebrado_x000d_ (mergulhador)</c:v>
                </c:pt>
                <c:pt idx="2">
                  <c:v>Coral quebrado_x000d_ (outros)</c:v>
                </c:pt>
                <c:pt idx="3">
                  <c:v>Lixo (pesca)</c:v>
                </c:pt>
                <c:pt idx="4">
                  <c:v>Lixo (outros)</c:v>
                </c:pt>
              </c:strCache>
            </c:strRef>
          </c:cat>
          <c:val>
            <c:numRef>
              <c:f>GRÁFICOS!$C$58:$C$62</c:f>
              <c:numCache>
                <c:formatCode>General</c:formatCode>
                <c:ptCount val="5"/>
                <c:pt idx="0">
                  <c:v>0.0</c:v>
                </c:pt>
                <c:pt idx="1">
                  <c:v>0.0</c:v>
                </c:pt>
                <c:pt idx="2">
                  <c:v>0.0</c:v>
                </c:pt>
                <c:pt idx="3">
                  <c:v>1.0</c:v>
                </c:pt>
                <c:pt idx="4">
                  <c:v>0.0</c:v>
                </c:pt>
              </c:numCache>
            </c:numRef>
          </c:val>
        </c:ser>
        <c:dLbls>
          <c:showLegendKey val="0"/>
          <c:showVal val="0"/>
          <c:showCatName val="0"/>
          <c:showSerName val="0"/>
          <c:showPercent val="0"/>
          <c:showBubbleSize val="0"/>
        </c:dLbls>
        <c:gapWidth val="150"/>
        <c:axId val="-2129996008"/>
        <c:axId val="-2129992696"/>
      </c:barChart>
      <c:catAx>
        <c:axId val="-2129996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nchor="t" anchorCtr="1"/>
          <a:lstStyle/>
          <a:p>
            <a:pPr>
              <a:defRPr sz="800" b="1" i="0" u="none" strike="noStrike" baseline="0">
                <a:solidFill>
                  <a:srgbClr val="000000"/>
                </a:solidFill>
                <a:latin typeface="Arial Narrow"/>
                <a:ea typeface="Arial Narrow"/>
                <a:cs typeface="Arial Narrow"/>
              </a:defRPr>
            </a:pPr>
            <a:endParaRPr lang="en-US"/>
          </a:p>
        </c:txPr>
        <c:crossAx val="-2129992696"/>
        <c:crosses val="autoZero"/>
        <c:auto val="1"/>
        <c:lblAlgn val="ctr"/>
        <c:lblOffset val="100"/>
        <c:tickLblSkip val="1"/>
        <c:tickMarkSkip val="1"/>
        <c:noMultiLvlLbl val="0"/>
      </c:catAx>
      <c:valAx>
        <c:axId val="-2129992696"/>
        <c:scaling>
          <c:orientation val="minMax"/>
        </c:scaling>
        <c:delete val="0"/>
        <c:axPos val="l"/>
        <c:majorGridlines>
          <c:spPr>
            <a:ln w="3175">
              <a:solidFill>
                <a:srgbClr val="FFFFFF"/>
              </a:solidFill>
              <a:prstDash val="solid"/>
            </a:ln>
          </c:spPr>
        </c:majorGridlines>
        <c:title>
          <c:tx>
            <c:rich>
              <a:bodyPr/>
              <a:lstStyle/>
              <a:p>
                <a:pPr>
                  <a:defRPr sz="800" b="1" i="0" u="none" strike="noStrike" baseline="0">
                    <a:solidFill>
                      <a:srgbClr val="000000"/>
                    </a:solidFill>
                    <a:latin typeface="Arial Narrow"/>
                    <a:ea typeface="Arial Narrow"/>
                    <a:cs typeface="Arial Narrow"/>
                  </a:defRPr>
                </a:pPr>
                <a:r>
                  <a:rPr lang="pt-BR"/>
                  <a:t>Escala de Impacto +-EP</a:t>
                </a:r>
              </a:p>
            </c:rich>
          </c:tx>
          <c:layout>
            <c:manualLayout>
              <c:xMode val="edge"/>
              <c:yMode val="edge"/>
              <c:x val="0.0377892699853196"/>
              <c:y val="0.1509059938936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Narrow"/>
                <a:ea typeface="Arial Narrow"/>
                <a:cs typeface="Arial Narrow"/>
              </a:defRPr>
            </a:pPr>
            <a:endParaRPr lang="en-US"/>
          </a:p>
        </c:txPr>
        <c:crossAx val="-2129996008"/>
        <c:crosses val="autoZero"/>
        <c:crossBetween val="between"/>
        <c:majorUnit val="0.5"/>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00"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Narrow"/>
                <a:ea typeface="Arial Narrow"/>
                <a:cs typeface="Arial Narrow"/>
              </a:defRPr>
            </a:pPr>
            <a:r>
              <a:rPr lang="pt-BR" sz="1025" b="1" i="0" u="none" strike="noStrike" baseline="0">
                <a:solidFill>
                  <a:srgbClr val="000000"/>
                </a:solidFill>
                <a:latin typeface="Arial Narrow"/>
              </a:rPr>
              <a:t>Percentagem Estimada da população de coral afetada por branqueamento para Taquaruçu, 2m , 20/02/2019</a:t>
            </a:r>
            <a:endParaRPr lang="pt-BR" sz="1050" b="1" i="0" u="none" strike="noStrike" baseline="0">
              <a:solidFill>
                <a:srgbClr val="0000FF"/>
              </a:solidFill>
              <a:latin typeface="Arial Narrow"/>
            </a:endParaRPr>
          </a:p>
        </c:rich>
      </c:tx>
      <c:layout>
        <c:manualLayout>
          <c:xMode val="edge"/>
          <c:yMode val="edge"/>
          <c:x val="0.10112400295367"/>
          <c:y val="0.0263156886411096"/>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0262173243552652"/>
          <c:y val="0.368421052631579"/>
          <c:w val="0.902625024231275"/>
          <c:h val="0.357142857142858"/>
        </c:manualLayout>
      </c:layout>
      <c:pie3DChart>
        <c:varyColors val="1"/>
        <c:ser>
          <c:idx val="0"/>
          <c:order val="0"/>
          <c:spPr>
            <a:solidFill>
              <a:srgbClr val="8080FF"/>
            </a:solidFill>
            <a:ln w="12700">
              <a:solidFill>
                <a:srgbClr val="000000"/>
              </a:solidFill>
              <a:prstDash val="solid"/>
            </a:ln>
          </c:spPr>
          <c:explosion val="58"/>
          <c:dPt>
            <c:idx val="0"/>
            <c:bubble3D val="0"/>
            <c:spPr>
              <a:solidFill>
                <a:srgbClr val="A6CAF0"/>
              </a:solidFill>
              <a:ln w="12700">
                <a:solidFill>
                  <a:srgbClr val="000000"/>
                </a:solidFill>
                <a:prstDash val="solid"/>
              </a:ln>
            </c:spPr>
          </c:dPt>
          <c:dPt>
            <c:idx val="1"/>
            <c:bubble3D val="0"/>
            <c:spPr>
              <a:solidFill>
                <a:srgbClr val="FF8080"/>
              </a:solidFill>
              <a:ln w="12700">
                <a:solidFill>
                  <a:srgbClr val="000000"/>
                </a:solidFill>
                <a:prstDash val="solid"/>
              </a:ln>
            </c:spPr>
          </c:dPt>
          <c:dLbls>
            <c:spPr>
              <a:noFill/>
              <a:ln w="25400">
                <a:noFill/>
              </a:ln>
            </c:spPr>
            <c:txPr>
              <a:bodyPr/>
              <a:lstStyle/>
              <a:p>
                <a:pPr>
                  <a:defRPr sz="950" b="1" i="0" u="none" strike="noStrike" baseline="0">
                    <a:solidFill>
                      <a:srgbClr val="000000"/>
                    </a:solidFill>
                    <a:latin typeface="Arial Narrow"/>
                    <a:ea typeface="Arial Narrow"/>
                    <a:cs typeface="Arial Narrow"/>
                  </a:defRPr>
                </a:pPr>
                <a:endParaRPr lang="en-US"/>
              </a:p>
            </c:txPr>
            <c:showLegendKey val="0"/>
            <c:showVal val="1"/>
            <c:showCatName val="0"/>
            <c:showSerName val="0"/>
            <c:showPercent val="0"/>
            <c:showBubbleSize val="0"/>
            <c:showLeaderLines val="1"/>
          </c:dLbls>
          <c:cat>
            <c:strRef>
              <c:f>GRÁFICOS!$B$71:$B$72</c:f>
              <c:strCache>
                <c:ptCount val="2"/>
                <c:pt idx="0">
                  <c:v>% Branqueado</c:v>
                </c:pt>
                <c:pt idx="1">
                  <c:v>% Não Branqueado</c:v>
                </c:pt>
              </c:strCache>
            </c:strRef>
          </c:cat>
          <c:val>
            <c:numRef>
              <c:f>GRÁFICOS!$C$71:$C$72</c:f>
              <c:numCache>
                <c:formatCode>0.0</c:formatCode>
                <c:ptCount val="2"/>
                <c:pt idx="0">
                  <c:v>0.0</c:v>
                </c:pt>
                <c:pt idx="1">
                  <c:v>0.0</c:v>
                </c:pt>
              </c:numCache>
            </c:numRef>
          </c:val>
        </c:ser>
        <c:dLbls>
          <c:showLegendKey val="0"/>
          <c:showVal val="0"/>
          <c:showCatName val="0"/>
          <c:showSerName val="0"/>
          <c:showPercent val="0"/>
          <c:showBubbleSize val="0"/>
          <c:showLeaderLines val="1"/>
        </c:dLbls>
      </c:pie3DChart>
      <c:spPr>
        <a:noFill/>
        <a:ln w="25400">
          <a:noFill/>
        </a:ln>
      </c:spPr>
    </c:plotArea>
    <c:legend>
      <c:legendPos val="b"/>
      <c:layout>
        <c:manualLayout>
          <c:xMode val="edge"/>
          <c:yMode val="edge"/>
          <c:x val="0.0187265589015858"/>
          <c:y val="0.834586278904918"/>
          <c:w val="0.949620628897711"/>
          <c:h val="0.154135295131904"/>
        </c:manualLayout>
      </c:layout>
      <c:overlay val="0"/>
      <c:spPr>
        <a:solidFill>
          <a:srgbClr val="FFFFFF"/>
        </a:solidFill>
        <a:ln w="25400">
          <a:noFill/>
        </a:ln>
      </c:spPr>
      <c:txPr>
        <a:bodyPr/>
        <a:lstStyle/>
        <a:p>
          <a:pPr>
            <a:defRPr sz="900" b="1" i="0" u="none" strike="noStrike" baseline="0">
              <a:solidFill>
                <a:srgbClr val="000000"/>
              </a:solidFill>
              <a:latin typeface="Arial Narrow"/>
              <a:ea typeface="Arial Narrow"/>
              <a:cs typeface="Arial Narrow"/>
            </a:defRPr>
          </a:pPr>
          <a:endParaRPr lang="en-US"/>
        </a:p>
      </c:txPr>
    </c:legend>
    <c:plotVisOnly val="1"/>
    <c:dispBlanksAs val="zero"/>
    <c:showDLblsOverMax val="0"/>
  </c:chart>
  <c:spPr>
    <a:solidFill>
      <a:srgbClr val="FFFFFF"/>
    </a:solidFill>
    <a:ln w="9525">
      <a:noFill/>
    </a:ln>
  </c:spPr>
  <c:txPr>
    <a:bodyPr/>
    <a:lstStyle/>
    <a:p>
      <a:pPr>
        <a:defRPr sz="850"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Narrow"/>
                <a:ea typeface="Arial Narrow"/>
                <a:cs typeface="Arial Narrow"/>
              </a:defRPr>
            </a:pPr>
            <a:r>
              <a:rPr lang="pt-BR" sz="1050" b="1" i="0" u="none" strike="noStrike" baseline="0">
                <a:solidFill>
                  <a:srgbClr val="000000"/>
                </a:solidFill>
                <a:latin typeface="Arial Narrow"/>
              </a:rPr>
              <a:t>Percentagem estimada das colônias de coral afetadas por branqueamento para RCB Taquaruçu, 2m , 20/02/2019</a:t>
            </a:r>
            <a:endParaRPr lang="pt-BR" sz="1050" b="1" i="0" u="none" strike="noStrike" baseline="0">
              <a:solidFill>
                <a:srgbClr val="0000FF"/>
              </a:solidFill>
              <a:latin typeface="Arial Narrow"/>
            </a:endParaRPr>
          </a:p>
        </c:rich>
      </c:tx>
      <c:layout>
        <c:manualLayout>
          <c:xMode val="edge"/>
          <c:yMode val="edge"/>
          <c:x val="0.164751906011749"/>
          <c:y val="0.0380227471566054"/>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0957857990069706"/>
          <c:y val="0.368821292775666"/>
          <c:w val="0.831420735380506"/>
          <c:h val="0.326996197718632"/>
        </c:manualLayout>
      </c:layout>
      <c:pie3DChart>
        <c:varyColors val="1"/>
        <c:ser>
          <c:idx val="0"/>
          <c:order val="0"/>
          <c:spPr>
            <a:solidFill>
              <a:srgbClr val="8080FF"/>
            </a:solidFill>
            <a:ln w="12700">
              <a:solidFill>
                <a:srgbClr val="000000"/>
              </a:solidFill>
              <a:prstDash val="solid"/>
            </a:ln>
          </c:spPr>
          <c:explosion val="25"/>
          <c:dPt>
            <c:idx val="0"/>
            <c:bubble3D val="0"/>
            <c:spPr>
              <a:solidFill>
                <a:srgbClr val="A6CAF0"/>
              </a:solidFill>
              <a:ln w="12700">
                <a:solidFill>
                  <a:srgbClr val="000000"/>
                </a:solidFill>
                <a:prstDash val="solid"/>
              </a:ln>
            </c:spPr>
          </c:dPt>
          <c:dPt>
            <c:idx val="1"/>
            <c:bubble3D val="0"/>
            <c:spPr>
              <a:solidFill>
                <a:srgbClr val="FF8080"/>
              </a:solidFill>
              <a:ln w="12700">
                <a:solidFill>
                  <a:srgbClr val="000000"/>
                </a:solidFill>
                <a:prstDash val="solid"/>
              </a:ln>
            </c:spPr>
          </c:dPt>
          <c:dLbls>
            <c:spPr>
              <a:noFill/>
              <a:ln w="25400">
                <a:noFill/>
              </a:ln>
            </c:spPr>
            <c:txPr>
              <a:bodyPr/>
              <a:lstStyle/>
              <a:p>
                <a:pPr>
                  <a:defRPr sz="950" b="1" i="0" u="none" strike="noStrike" baseline="0">
                    <a:solidFill>
                      <a:srgbClr val="000000"/>
                    </a:solidFill>
                    <a:latin typeface="Arial Narrow"/>
                    <a:ea typeface="Arial Narrow"/>
                    <a:cs typeface="Arial Narrow"/>
                  </a:defRPr>
                </a:pPr>
                <a:endParaRPr lang="en-US"/>
              </a:p>
            </c:txPr>
            <c:showLegendKey val="0"/>
            <c:showVal val="1"/>
            <c:showCatName val="0"/>
            <c:showSerName val="0"/>
            <c:showPercent val="0"/>
            <c:showBubbleSize val="0"/>
            <c:showLeaderLines val="1"/>
          </c:dLbls>
          <c:cat>
            <c:strRef>
              <c:f>GRÁFICOS!$B$77:$B$78</c:f>
              <c:strCache>
                <c:ptCount val="2"/>
                <c:pt idx="0">
                  <c:v>% Branqueado</c:v>
                </c:pt>
                <c:pt idx="1">
                  <c:v>% Não Branqueado</c:v>
                </c:pt>
              </c:strCache>
            </c:strRef>
          </c:cat>
          <c:val>
            <c:numRef>
              <c:f>GRÁFICOS!$C$77:$C$78</c:f>
              <c:numCache>
                <c:formatCode>0.0</c:formatCode>
                <c:ptCount val="2"/>
                <c:pt idx="0">
                  <c:v>0.0</c:v>
                </c:pt>
                <c:pt idx="1">
                  <c:v>0.0</c:v>
                </c:pt>
              </c:numCache>
            </c:numRef>
          </c:val>
        </c:ser>
        <c:dLbls>
          <c:showLegendKey val="0"/>
          <c:showVal val="0"/>
          <c:showCatName val="0"/>
          <c:showSerName val="0"/>
          <c:showPercent val="0"/>
          <c:showBubbleSize val="0"/>
          <c:showLeaderLines val="1"/>
        </c:dLbls>
      </c:pie3DChart>
      <c:spPr>
        <a:noFill/>
        <a:ln w="25400">
          <a:noFill/>
        </a:ln>
      </c:spPr>
    </c:plotArea>
    <c:legend>
      <c:legendPos val="b"/>
      <c:layout>
        <c:manualLayout>
          <c:xMode val="edge"/>
          <c:yMode val="edge"/>
          <c:x val="0.0191572928383952"/>
          <c:y val="0.832699523670652"/>
          <c:w val="0.961273278340208"/>
          <c:h val="0.155893457762224"/>
        </c:manualLayout>
      </c:layout>
      <c:overlay val="0"/>
      <c:spPr>
        <a:solidFill>
          <a:srgbClr val="FFFFFF"/>
        </a:solidFill>
        <a:ln w="25400">
          <a:noFill/>
        </a:ln>
      </c:spPr>
      <c:txPr>
        <a:bodyPr/>
        <a:lstStyle/>
        <a:p>
          <a:pPr>
            <a:defRPr sz="900" b="1" i="0" u="none" strike="noStrike" baseline="0">
              <a:solidFill>
                <a:srgbClr val="000000"/>
              </a:solidFill>
              <a:latin typeface="Arial Narrow"/>
              <a:ea typeface="Arial Narrow"/>
              <a:cs typeface="Arial Narrow"/>
            </a:defRPr>
          </a:pPr>
          <a:endParaRPr lang="en-US"/>
        </a:p>
      </c:txPr>
    </c:legend>
    <c:plotVisOnly val="1"/>
    <c:dispBlanksAs val="zero"/>
    <c:showDLblsOverMax val="0"/>
  </c:chart>
  <c:spPr>
    <a:solidFill>
      <a:srgbClr val="FFFFFF"/>
    </a:solidFill>
    <a:ln w="9525">
      <a:noFill/>
    </a:ln>
  </c:spPr>
  <c:txPr>
    <a:bodyPr/>
    <a:lstStyle/>
    <a:p>
      <a:pPr>
        <a:defRPr sz="850"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pt-BR" sz="1050" b="1" i="0" u="none" strike="noStrike" baseline="0">
                <a:solidFill>
                  <a:srgbClr val="000000"/>
                </a:solidFill>
                <a:latin typeface="Arial Narrow"/>
              </a:rPr>
              <a:t>Percentagem estimada de doença de coral para RCB Taquaruçu, 2m, 20/02/2019</a:t>
            </a:r>
          </a:p>
          <a:p>
            <a:pPr>
              <a:defRPr sz="875" b="1" i="0" u="none" strike="noStrike" baseline="0">
                <a:solidFill>
                  <a:srgbClr val="000000"/>
                </a:solidFill>
                <a:latin typeface="Arial Narrow"/>
                <a:ea typeface="Arial Narrow"/>
                <a:cs typeface="Arial Narrow"/>
              </a:defRPr>
            </a:pPr>
            <a:endParaRPr lang="pt-BR" sz="1050" b="1" i="0" u="none" strike="noStrike" baseline="0">
              <a:solidFill>
                <a:srgbClr val="0000FF"/>
              </a:solidFill>
              <a:latin typeface="Arial Narrow"/>
            </a:endParaRPr>
          </a:p>
        </c:rich>
      </c:tx>
      <c:layout>
        <c:manualLayout>
          <c:xMode val="edge"/>
          <c:yMode val="edge"/>
          <c:x val="0.152416406529066"/>
          <c:y val="0.0176676022752676"/>
        </c:manualLayout>
      </c:layout>
      <c:overlay val="0"/>
      <c:spPr>
        <a:noFill/>
        <a:ln w="25400">
          <a:noFill/>
        </a:ln>
      </c:spPr>
    </c:title>
    <c:autoTitleDeleted val="0"/>
    <c:plotArea>
      <c:layout>
        <c:manualLayout>
          <c:layoutTarget val="inner"/>
          <c:xMode val="edge"/>
          <c:yMode val="edge"/>
          <c:x val="0.0594795539033458"/>
          <c:y val="0.157175384924018"/>
          <c:w val="0.895910780669145"/>
          <c:h val="0.567206981292942"/>
        </c:manualLayout>
      </c:layout>
      <c:barChart>
        <c:barDir val="col"/>
        <c:grouping val="clustered"/>
        <c:varyColors val="0"/>
        <c:ser>
          <c:idx val="0"/>
          <c:order val="0"/>
          <c:spPr>
            <a:solidFill>
              <a:srgbClr val="FF8080"/>
            </a:solidFill>
            <a:ln w="12700">
              <a:solidFill>
                <a:srgbClr val="000000"/>
              </a:solidFill>
              <a:prstDash val="solid"/>
            </a:ln>
          </c:spPr>
          <c:invertIfNegative val="0"/>
          <c:dPt>
            <c:idx val="0"/>
            <c:invertIfNegative val="0"/>
            <c:bubble3D val="0"/>
            <c:spPr>
              <a:solidFill>
                <a:srgbClr val="996666"/>
              </a:solidFill>
              <a:ln w="12700">
                <a:solidFill>
                  <a:srgbClr val="000000"/>
                </a:solidFill>
                <a:prstDash val="solid"/>
              </a:ln>
            </c:spPr>
          </c:dPt>
          <c:dPt>
            <c:idx val="1"/>
            <c:invertIfNegative val="0"/>
            <c:bubble3D val="0"/>
            <c:spPr>
              <a:solidFill>
                <a:schemeClr val="tx1">
                  <a:lumMod val="75000"/>
                  <a:lumOff val="25000"/>
                </a:schemeClr>
              </a:solidFill>
              <a:ln w="12700">
                <a:solidFill>
                  <a:srgbClr val="000000"/>
                </a:solidFill>
                <a:prstDash val="solid"/>
              </a:ln>
            </c:spPr>
          </c:dPt>
          <c:dPt>
            <c:idx val="2"/>
            <c:invertIfNegative val="0"/>
            <c:bubble3D val="0"/>
            <c:spPr>
              <a:solidFill>
                <a:schemeClr val="accent4">
                  <a:lumMod val="75000"/>
                </a:schemeClr>
              </a:solidFill>
              <a:ln w="12700">
                <a:solidFill>
                  <a:srgbClr val="000000"/>
                </a:solidFill>
                <a:prstDash val="solid"/>
              </a:ln>
            </c:spPr>
          </c:dPt>
          <c:dPt>
            <c:idx val="3"/>
            <c:invertIfNegative val="0"/>
            <c:bubble3D val="0"/>
            <c:spPr>
              <a:solidFill>
                <a:schemeClr val="bg2"/>
              </a:solidFill>
              <a:ln w="12700">
                <a:solidFill>
                  <a:srgbClr val="000000"/>
                </a:solidFill>
                <a:prstDash val="solid"/>
              </a:ln>
            </c:spPr>
          </c:dPt>
          <c:dPt>
            <c:idx val="4"/>
            <c:invertIfNegative val="0"/>
            <c:bubble3D val="0"/>
            <c:spPr>
              <a:solidFill>
                <a:srgbClr val="FFC000"/>
              </a:solidFill>
              <a:ln w="12700">
                <a:solidFill>
                  <a:srgbClr val="000000"/>
                </a:solidFill>
                <a:prstDash val="solid"/>
              </a:ln>
            </c:spPr>
          </c:dPt>
          <c:dLbls>
            <c:numFmt formatCode="General" sourceLinked="0"/>
            <c:spPr>
              <a:noFill/>
              <a:ln w="25400">
                <a:noFill/>
              </a:ln>
            </c:spPr>
            <c:txPr>
              <a:bodyPr/>
              <a:lstStyle/>
              <a:p>
                <a:pPr>
                  <a:defRPr sz="875" b="1" i="0" u="none" strike="noStrike" baseline="0">
                    <a:solidFill>
                      <a:srgbClr val="000000"/>
                    </a:solidFill>
                    <a:latin typeface="Arial Narrow"/>
                    <a:ea typeface="Arial Narrow"/>
                    <a:cs typeface="Arial Narrow"/>
                  </a:defRPr>
                </a:pPr>
                <a:endParaRPr lang="en-US"/>
              </a:p>
            </c:txPr>
            <c:showLegendKey val="0"/>
            <c:showVal val="1"/>
            <c:showCatName val="0"/>
            <c:showSerName val="0"/>
            <c:showPercent val="0"/>
            <c:showBubbleSize val="0"/>
            <c:showLeaderLines val="0"/>
          </c:dLbls>
          <c:cat>
            <c:strRef>
              <c:f>GRÁFICOS!$B$83:$B$87</c:f>
              <c:strCache>
                <c:ptCount val="5"/>
                <c:pt idx="0">
                  <c:v>% geral (não identificada)</c:v>
                </c:pt>
                <c:pt idx="1">
                  <c:v>% Banda Negra</c:v>
                </c:pt>
                <c:pt idx="2">
                  <c:v>% Mancha Escura</c:v>
                </c:pt>
                <c:pt idx="3">
                  <c:v>% Praga Branca</c:v>
                </c:pt>
                <c:pt idx="4">
                  <c:v>% Faixa amarela</c:v>
                </c:pt>
              </c:strCache>
            </c:strRef>
          </c:cat>
          <c:val>
            <c:numRef>
              <c:f>GRÁFICOS!$C$83:$C$87</c:f>
              <c:numCache>
                <c:formatCode>0.0</c:formatCode>
                <c:ptCount val="5"/>
                <c:pt idx="0">
                  <c:v>0.0</c:v>
                </c:pt>
                <c:pt idx="1">
                  <c:v>0.0</c:v>
                </c:pt>
                <c:pt idx="2">
                  <c:v>0.0</c:v>
                </c:pt>
                <c:pt idx="3">
                  <c:v>0.0</c:v>
                </c:pt>
                <c:pt idx="4">
                  <c:v>0.0</c:v>
                </c:pt>
              </c:numCache>
            </c:numRef>
          </c:val>
        </c:ser>
        <c:dLbls>
          <c:showLegendKey val="0"/>
          <c:showVal val="0"/>
          <c:showCatName val="0"/>
          <c:showSerName val="0"/>
          <c:showPercent val="0"/>
          <c:showBubbleSize val="0"/>
        </c:dLbls>
        <c:gapWidth val="100"/>
        <c:axId val="-2130210744"/>
        <c:axId val="-2130207816"/>
      </c:barChart>
      <c:catAx>
        <c:axId val="-2130210744"/>
        <c:scaling>
          <c:orientation val="minMax"/>
        </c:scaling>
        <c:delete val="0"/>
        <c:axPos val="b"/>
        <c:numFmt formatCode="General" sourceLinked="1"/>
        <c:majorTickMark val="out"/>
        <c:minorTickMark val="none"/>
        <c:tickLblPos val="nextTo"/>
        <c:txPr>
          <a:bodyPr rot="0" vert="horz"/>
          <a:lstStyle/>
          <a:p>
            <a:pPr>
              <a:defRPr sz="875" b="1" i="0" u="none" strike="noStrike" baseline="0">
                <a:solidFill>
                  <a:srgbClr val="000000"/>
                </a:solidFill>
                <a:latin typeface="Arial Narrow"/>
                <a:ea typeface="Arial Narrow"/>
                <a:cs typeface="Arial Narrow"/>
              </a:defRPr>
            </a:pPr>
            <a:endParaRPr lang="en-US"/>
          </a:p>
        </c:txPr>
        <c:crossAx val="-2130207816"/>
        <c:crosses val="autoZero"/>
        <c:auto val="1"/>
        <c:lblAlgn val="ctr"/>
        <c:lblOffset val="100"/>
        <c:noMultiLvlLbl val="0"/>
      </c:catAx>
      <c:valAx>
        <c:axId val="-2130207816"/>
        <c:scaling>
          <c:orientation val="minMax"/>
        </c:scaling>
        <c:delete val="0"/>
        <c:axPos val="l"/>
        <c:majorGridlines/>
        <c:numFmt formatCode="General" sourceLinked="0"/>
        <c:majorTickMark val="out"/>
        <c:minorTickMark val="none"/>
        <c:tickLblPos val="nextTo"/>
        <c:txPr>
          <a:bodyPr rot="0" vert="horz"/>
          <a:lstStyle/>
          <a:p>
            <a:pPr>
              <a:defRPr sz="875" b="1" i="0" u="none" strike="noStrike" baseline="0">
                <a:solidFill>
                  <a:srgbClr val="000000"/>
                </a:solidFill>
                <a:latin typeface="Arial Narrow"/>
                <a:ea typeface="Arial Narrow"/>
                <a:cs typeface="Arial Narrow"/>
              </a:defRPr>
            </a:pPr>
            <a:endParaRPr lang="en-US"/>
          </a:p>
        </c:txPr>
        <c:crossAx val="-2130210744"/>
        <c:crosses val="autoZero"/>
        <c:crossBetween val="between"/>
      </c:valAx>
    </c:plotArea>
    <c:plotVisOnly val="1"/>
    <c:dispBlanksAs val="zero"/>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Narrow"/>
                <a:ea typeface="Arial Narrow"/>
                <a:cs typeface="Arial Narrow"/>
              </a:defRPr>
            </a:pPr>
            <a:r>
              <a:rPr lang="pt-BR" sz="900" b="1" i="0" u="none" strike="noStrike" baseline="0">
                <a:solidFill>
                  <a:srgbClr val="000000"/>
                </a:solidFill>
                <a:latin typeface="Arial Narrow"/>
              </a:rPr>
              <a:t>Tamanho Médio de Garoupas em RCB Taquaruçu, 2m , 20/02/2019</a:t>
            </a:r>
            <a:endParaRPr lang="pt-BR" sz="900" b="1" i="0" u="none" strike="noStrike" baseline="0">
              <a:solidFill>
                <a:srgbClr val="0000FF"/>
              </a:solidFill>
              <a:latin typeface="Arial Narrow"/>
            </a:endParaRPr>
          </a:p>
        </c:rich>
      </c:tx>
      <c:layout>
        <c:manualLayout>
          <c:xMode val="edge"/>
          <c:yMode val="edge"/>
          <c:x val="0.165467606022931"/>
          <c:y val="0.0211863517060367"/>
        </c:manualLayout>
      </c:layout>
      <c:overlay val="0"/>
      <c:spPr>
        <a:noFill/>
        <a:ln w="25400">
          <a:noFill/>
        </a:ln>
      </c:spPr>
    </c:title>
    <c:autoTitleDeleted val="0"/>
    <c:plotArea>
      <c:layout>
        <c:manualLayout>
          <c:layoutTarget val="inner"/>
          <c:xMode val="edge"/>
          <c:yMode val="edge"/>
          <c:x val="0.223021582733813"/>
          <c:y val="0.241525423728814"/>
          <c:w val="0.762589928057554"/>
          <c:h val="0.521186440677965"/>
        </c:manualLayout>
      </c:layout>
      <c:barChart>
        <c:barDir val="col"/>
        <c:grouping val="clustered"/>
        <c:varyColors val="0"/>
        <c:ser>
          <c:idx val="0"/>
          <c:order val="0"/>
          <c:spPr>
            <a:solidFill>
              <a:srgbClr val="FF0000"/>
            </a:solidFill>
            <a:ln w="12700">
              <a:solidFill>
                <a:srgbClr val="000000"/>
              </a:solidFill>
              <a:prstDash val="solid"/>
            </a:ln>
            <a:effectLst>
              <a:outerShdw dist="35921" dir="2700000" algn="br">
                <a:srgbClr val="000000"/>
              </a:outerShdw>
            </a:effectLst>
          </c:spPr>
          <c:invertIfNegative val="0"/>
          <c:errBars>
            <c:errBarType val="both"/>
            <c:errValType val="cust"/>
            <c:noEndCap val="0"/>
            <c:plus>
              <c:numRef>
                <c:f>GRÁFICOS!$D$35:$D$38</c:f>
                <c:numCache>
                  <c:formatCode>General</c:formatCode>
                  <c:ptCount val="4"/>
                  <c:pt idx="0">
                    <c:v>0.0</c:v>
                  </c:pt>
                  <c:pt idx="1">
                    <c:v>0.0</c:v>
                  </c:pt>
                  <c:pt idx="2">
                    <c:v>0.0</c:v>
                  </c:pt>
                  <c:pt idx="3">
                    <c:v>0.0</c:v>
                  </c:pt>
                </c:numCache>
              </c:numRef>
            </c:plus>
            <c:minus>
              <c:numRef>
                <c:f>GRÁFICOS!$D$35:$D$38</c:f>
                <c:numCache>
                  <c:formatCode>General</c:formatCode>
                  <c:ptCount val="4"/>
                  <c:pt idx="0">
                    <c:v>0.0</c:v>
                  </c:pt>
                  <c:pt idx="1">
                    <c:v>0.0</c:v>
                  </c:pt>
                  <c:pt idx="2">
                    <c:v>0.0</c:v>
                  </c:pt>
                  <c:pt idx="3">
                    <c:v>0.0</c:v>
                  </c:pt>
                </c:numCache>
              </c:numRef>
            </c:minus>
            <c:spPr>
              <a:ln w="12700">
                <a:solidFill>
                  <a:srgbClr val="000000"/>
                </a:solidFill>
                <a:prstDash val="solid"/>
              </a:ln>
            </c:spPr>
          </c:errBars>
          <c:cat>
            <c:strRef>
              <c:f>GRÁFICOS!$B$35:$B$38</c:f>
              <c:strCache>
                <c:ptCount val="4"/>
                <c:pt idx="0">
                  <c:v>30-40</c:v>
                </c:pt>
                <c:pt idx="1">
                  <c:v>40-50</c:v>
                </c:pt>
                <c:pt idx="2">
                  <c:v>50-60</c:v>
                </c:pt>
                <c:pt idx="3">
                  <c:v>&gt;60</c:v>
                </c:pt>
              </c:strCache>
            </c:strRef>
          </c:cat>
          <c:val>
            <c:numRef>
              <c:f>GRÁFICOS!$C$35:$C$38</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axId val="-2129822296"/>
        <c:axId val="-2129816072"/>
      </c:barChart>
      <c:catAx>
        <c:axId val="-2129822296"/>
        <c:scaling>
          <c:orientation val="minMax"/>
        </c:scaling>
        <c:delete val="0"/>
        <c:axPos val="b"/>
        <c:title>
          <c:tx>
            <c:rich>
              <a:bodyPr/>
              <a:lstStyle/>
              <a:p>
                <a:pPr>
                  <a:defRPr sz="950" b="1" i="0" u="none" strike="noStrike" baseline="0">
                    <a:solidFill>
                      <a:srgbClr val="000000"/>
                    </a:solidFill>
                    <a:latin typeface="Arial Narrow"/>
                    <a:ea typeface="Arial Narrow"/>
                    <a:cs typeface="Arial Narrow"/>
                  </a:defRPr>
                </a:pPr>
                <a:r>
                  <a:rPr lang="pt-BR"/>
                  <a:t>Classe de tamanho (cm)</a:t>
                </a:r>
              </a:p>
            </c:rich>
          </c:tx>
          <c:layout>
            <c:manualLayout>
              <c:xMode val="edge"/>
              <c:yMode val="edge"/>
              <c:x val="0.410071986615708"/>
              <c:y val="0.8855933433852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50" b="1" i="0" u="none" strike="noStrike" baseline="0">
                <a:solidFill>
                  <a:srgbClr val="000000"/>
                </a:solidFill>
                <a:latin typeface="Arial Narrow"/>
                <a:ea typeface="Arial Narrow"/>
                <a:cs typeface="Arial Narrow"/>
              </a:defRPr>
            </a:pPr>
            <a:endParaRPr lang="en-US"/>
          </a:p>
        </c:txPr>
        <c:crossAx val="-2129816072"/>
        <c:crosses val="autoZero"/>
        <c:auto val="1"/>
        <c:lblAlgn val="ctr"/>
        <c:lblOffset val="100"/>
        <c:tickLblSkip val="1"/>
        <c:tickMarkSkip val="1"/>
        <c:noMultiLvlLbl val="0"/>
      </c:catAx>
      <c:valAx>
        <c:axId val="-2129816072"/>
        <c:scaling>
          <c:orientation val="minMax"/>
        </c:scaling>
        <c:delete val="0"/>
        <c:axPos val="l"/>
        <c:majorGridlines>
          <c:spPr>
            <a:ln w="3175">
              <a:solidFill>
                <a:srgbClr val="FFFFFF"/>
              </a:solidFill>
              <a:prstDash val="solid"/>
            </a:ln>
          </c:spPr>
        </c:majorGridlines>
        <c:title>
          <c:tx>
            <c:rich>
              <a:bodyPr/>
              <a:lstStyle/>
              <a:p>
                <a:pPr>
                  <a:defRPr sz="950" b="1" i="0" u="none" strike="noStrike" baseline="0">
                    <a:solidFill>
                      <a:srgbClr val="000000"/>
                    </a:solidFill>
                    <a:latin typeface="Arial Narrow"/>
                    <a:ea typeface="Arial Narrow"/>
                    <a:cs typeface="Arial Narrow"/>
                  </a:defRPr>
                </a:pPr>
                <a:r>
                  <a:rPr lang="pt-BR"/>
                  <a:t>Abundância Média +- EP</a:t>
                </a:r>
              </a:p>
            </c:rich>
          </c:tx>
          <c:layout>
            <c:manualLayout>
              <c:xMode val="edge"/>
              <c:yMode val="edge"/>
              <c:x val="0.0323740234225108"/>
              <c:y val="0.23942190204947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50" b="1" i="0" u="none" strike="noStrike" baseline="0">
                <a:solidFill>
                  <a:srgbClr val="000000"/>
                </a:solidFill>
                <a:latin typeface="Arial Narrow"/>
                <a:ea typeface="Arial Narrow"/>
                <a:cs typeface="Arial Narrow"/>
              </a:defRPr>
            </a:pPr>
            <a:endParaRPr lang="en-US"/>
          </a:p>
        </c:txPr>
        <c:crossAx val="-212982229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900"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pt-BR" sz="875" b="1" i="0" u="none" strike="noStrike" baseline="0">
                <a:solidFill>
                  <a:srgbClr val="000000"/>
                </a:solidFill>
                <a:latin typeface="Arial Narrow"/>
              </a:rPr>
              <a:t>Tamanho Médio de Mero em RCB Taquaruçu, 2m, 20/02/2019</a:t>
            </a:r>
            <a:endParaRPr lang="pt-BR" sz="875" b="1" i="0" u="none" strike="noStrike" baseline="0">
              <a:solidFill>
                <a:srgbClr val="0000FF"/>
              </a:solidFill>
              <a:latin typeface="Arial Narrow"/>
            </a:endParaRPr>
          </a:p>
        </c:rich>
      </c:tx>
      <c:layout>
        <c:manualLayout>
          <c:xMode val="edge"/>
          <c:yMode val="edge"/>
          <c:x val="0.131205833313389"/>
          <c:y val="0.0338981986226081"/>
        </c:manualLayout>
      </c:layout>
      <c:overlay val="0"/>
      <c:spPr>
        <a:noFill/>
        <a:ln w="25400">
          <a:noFill/>
        </a:ln>
      </c:spPr>
    </c:title>
    <c:autoTitleDeleted val="0"/>
    <c:plotArea>
      <c:layout>
        <c:manualLayout>
          <c:layoutTarget val="inner"/>
          <c:xMode val="edge"/>
          <c:yMode val="edge"/>
          <c:x val="0.204492470356099"/>
          <c:y val="0.305084745762713"/>
          <c:w val="0.742319390927198"/>
          <c:h val="0.452292175268484"/>
        </c:manualLayout>
      </c:layout>
      <c:barChart>
        <c:barDir val="col"/>
        <c:grouping val="clustered"/>
        <c:varyColors val="0"/>
        <c:ser>
          <c:idx val="0"/>
          <c:order val="0"/>
          <c:spPr>
            <a:solidFill>
              <a:srgbClr val="996633"/>
            </a:solidFill>
            <a:ln w="12700">
              <a:solidFill>
                <a:srgbClr val="000000"/>
              </a:solidFill>
              <a:prstDash val="solid"/>
            </a:ln>
            <a:effectLst>
              <a:outerShdw dist="35921" dir="2700000" algn="br">
                <a:srgbClr val="000000"/>
              </a:outerShdw>
            </a:effectLst>
          </c:spPr>
          <c:invertIfNegative val="0"/>
          <c:errBars>
            <c:errBarType val="both"/>
            <c:errValType val="cust"/>
            <c:noEndCap val="0"/>
            <c:plus>
              <c:numRef>
                <c:f>GRÁFICOS!$D$27:$D$31</c:f>
                <c:numCache>
                  <c:formatCode>General</c:formatCode>
                  <c:ptCount val="5"/>
                  <c:pt idx="0">
                    <c:v>0.0</c:v>
                  </c:pt>
                  <c:pt idx="1">
                    <c:v>0.0</c:v>
                  </c:pt>
                  <c:pt idx="2">
                    <c:v>0.0</c:v>
                  </c:pt>
                  <c:pt idx="3">
                    <c:v>0.0</c:v>
                  </c:pt>
                  <c:pt idx="4">
                    <c:v>0.0</c:v>
                  </c:pt>
                </c:numCache>
              </c:numRef>
            </c:plus>
            <c:minus>
              <c:numRef>
                <c:f>GRÁFICOS!$D$27:$D$31</c:f>
                <c:numCache>
                  <c:formatCode>General</c:formatCode>
                  <c:ptCount val="5"/>
                  <c:pt idx="0">
                    <c:v>0.0</c:v>
                  </c:pt>
                  <c:pt idx="1">
                    <c:v>0.0</c:v>
                  </c:pt>
                  <c:pt idx="2">
                    <c:v>0.0</c:v>
                  </c:pt>
                  <c:pt idx="3">
                    <c:v>0.0</c:v>
                  </c:pt>
                  <c:pt idx="4">
                    <c:v>0.0</c:v>
                  </c:pt>
                </c:numCache>
              </c:numRef>
            </c:minus>
            <c:spPr>
              <a:ln w="12700">
                <a:solidFill>
                  <a:srgbClr val="000000"/>
                </a:solidFill>
                <a:prstDash val="solid"/>
              </a:ln>
            </c:spPr>
          </c:errBars>
          <c:cat>
            <c:strRef>
              <c:f>GRÁFICOS!$B$27:$B$31</c:f>
              <c:strCache>
                <c:ptCount val="5"/>
                <c:pt idx="0">
                  <c:v>20-30</c:v>
                </c:pt>
                <c:pt idx="1">
                  <c:v>30-40</c:v>
                </c:pt>
                <c:pt idx="2">
                  <c:v>40-50</c:v>
                </c:pt>
                <c:pt idx="3">
                  <c:v>50-60</c:v>
                </c:pt>
                <c:pt idx="4">
                  <c:v>&gt;60</c:v>
                </c:pt>
              </c:strCache>
            </c:strRef>
          </c:cat>
          <c:val>
            <c:numRef>
              <c:f>GRÁFICOS!$C$27:$C$31</c:f>
              <c:numCache>
                <c:formatCode>General</c:formatCode>
                <c:ptCount val="5"/>
                <c:pt idx="0">
                  <c:v>0.0</c:v>
                </c:pt>
                <c:pt idx="1">
                  <c:v>0.0</c:v>
                </c:pt>
                <c:pt idx="2">
                  <c:v>0.0</c:v>
                </c:pt>
                <c:pt idx="3">
                  <c:v>0.0</c:v>
                </c:pt>
                <c:pt idx="4">
                  <c:v>0.0</c:v>
                </c:pt>
              </c:numCache>
            </c:numRef>
          </c:val>
        </c:ser>
        <c:dLbls>
          <c:showLegendKey val="0"/>
          <c:showVal val="0"/>
          <c:showCatName val="0"/>
          <c:showSerName val="0"/>
          <c:showPercent val="0"/>
          <c:showBubbleSize val="0"/>
        </c:dLbls>
        <c:gapWidth val="150"/>
        <c:axId val="-2130117112"/>
        <c:axId val="-2130110920"/>
      </c:barChart>
      <c:catAx>
        <c:axId val="-2130117112"/>
        <c:scaling>
          <c:orientation val="minMax"/>
        </c:scaling>
        <c:delete val="0"/>
        <c:axPos val="b"/>
        <c:title>
          <c:tx>
            <c:rich>
              <a:bodyPr/>
              <a:lstStyle/>
              <a:p>
                <a:pPr>
                  <a:defRPr sz="875" b="1" i="0" u="none" strike="noStrike" baseline="0">
                    <a:solidFill>
                      <a:srgbClr val="000000"/>
                    </a:solidFill>
                    <a:latin typeface="Arial Narrow"/>
                    <a:ea typeface="Arial Narrow"/>
                    <a:cs typeface="Arial Narrow"/>
                  </a:defRPr>
                </a:pPr>
                <a:r>
                  <a:rPr lang="pt-BR"/>
                  <a:t>Classe de tamanho (cm)</a:t>
                </a:r>
              </a:p>
            </c:rich>
          </c:tx>
          <c:layout>
            <c:manualLayout>
              <c:xMode val="edge"/>
              <c:yMode val="edge"/>
              <c:x val="0.315603953761099"/>
              <c:y val="0.8516948201987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en-US"/>
          </a:p>
        </c:txPr>
        <c:crossAx val="-2130110920"/>
        <c:crosses val="autoZero"/>
        <c:auto val="1"/>
        <c:lblAlgn val="ctr"/>
        <c:lblOffset val="100"/>
        <c:tickLblSkip val="1"/>
        <c:tickMarkSkip val="1"/>
        <c:noMultiLvlLbl val="0"/>
      </c:catAx>
      <c:valAx>
        <c:axId val="-2130110920"/>
        <c:scaling>
          <c:orientation val="minMax"/>
        </c:scaling>
        <c:delete val="0"/>
        <c:axPos val="l"/>
        <c:majorGridlines>
          <c:spPr>
            <a:ln w="3175">
              <a:solidFill>
                <a:srgbClr val="FFFFFF"/>
              </a:solidFill>
              <a:prstDash val="solid"/>
            </a:ln>
          </c:spPr>
        </c:majorGridlines>
        <c:title>
          <c:tx>
            <c:rich>
              <a:bodyPr/>
              <a:lstStyle/>
              <a:p>
                <a:pPr>
                  <a:defRPr sz="875" b="1" i="0" u="none" strike="noStrike" baseline="0">
                    <a:solidFill>
                      <a:srgbClr val="000000"/>
                    </a:solidFill>
                    <a:latin typeface="Arial Narrow"/>
                    <a:ea typeface="Arial Narrow"/>
                    <a:cs typeface="Arial Narrow"/>
                  </a:defRPr>
                </a:pPr>
                <a:r>
                  <a:rPr lang="pt-BR"/>
                  <a:t>Abundância Média +- EP</a:t>
                </a:r>
              </a:p>
            </c:rich>
          </c:tx>
          <c:layout>
            <c:manualLayout>
              <c:xMode val="edge"/>
              <c:yMode val="edge"/>
              <c:x val="0.0177306560084245"/>
              <c:y val="0.26694932364223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en-US"/>
          </a:p>
        </c:txPr>
        <c:crossAx val="-2130117112"/>
        <c:crosses val="autoZero"/>
        <c:crossBetween val="between"/>
      </c:valAx>
      <c:spPr>
        <a:solidFill>
          <a:srgbClr val="FFFFFF"/>
        </a:solidFill>
        <a:ln w="25400">
          <a:noFill/>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Narrow"/>
                <a:ea typeface="Arial Narrow"/>
                <a:cs typeface="Arial Narrow"/>
              </a:defRPr>
            </a:pPr>
            <a:r>
              <a:rPr lang="pt-BR" sz="850" b="1" i="0" u="none" strike="noStrike" baseline="0">
                <a:solidFill>
                  <a:srgbClr val="000000"/>
                </a:solidFill>
                <a:latin typeface="Arial Narrow"/>
              </a:rPr>
              <a:t>Cobertura de coral para RCB Taquaruçu, 2m 20/02/2018</a:t>
            </a:r>
            <a:endParaRPr lang="pt-BR" sz="850" b="1" i="0" u="none" strike="noStrike" baseline="0">
              <a:solidFill>
                <a:srgbClr val="0000FF"/>
              </a:solidFill>
              <a:latin typeface="Arial Narrow"/>
            </a:endParaRPr>
          </a:p>
        </c:rich>
      </c:tx>
      <c:layout>
        <c:manualLayout>
          <c:xMode val="edge"/>
          <c:yMode val="edge"/>
          <c:x val="0.163842318753218"/>
          <c:y val="0.0329671648186834"/>
        </c:manualLayout>
      </c:layout>
      <c:overlay val="0"/>
      <c:spPr>
        <a:noFill/>
        <a:ln w="25400">
          <a:noFill/>
        </a:ln>
      </c:spPr>
    </c:title>
    <c:autoTitleDeleted val="0"/>
    <c:plotArea>
      <c:layout>
        <c:manualLayout>
          <c:layoutTarget val="inner"/>
          <c:xMode val="edge"/>
          <c:yMode val="edge"/>
          <c:x val="0.344782930841779"/>
          <c:y val="0.269508100280568"/>
          <c:w val="0.626972083035075"/>
          <c:h val="0.422242921762439"/>
        </c:manualLayout>
      </c:layout>
      <c:barChart>
        <c:barDir val="col"/>
        <c:grouping val="clustered"/>
        <c:varyColors val="0"/>
        <c:ser>
          <c:idx val="0"/>
          <c:order val="0"/>
          <c:tx>
            <c:strRef>
              <c:f>GRÁFICOS!$B$67</c:f>
              <c:strCache>
                <c:ptCount val="1"/>
                <c:pt idx="0">
                  <c:v>% Coral</c:v>
                </c:pt>
              </c:strCache>
            </c:strRef>
          </c:tx>
          <c:spPr>
            <a:solidFill>
              <a:srgbClr val="C4649D"/>
            </a:solidFill>
            <a:ln w="12700">
              <a:solidFill>
                <a:srgbClr val="000000"/>
              </a:solidFill>
              <a:prstDash val="solid"/>
            </a:ln>
          </c:spPr>
          <c:invertIfNegative val="0"/>
          <c:dPt>
            <c:idx val="0"/>
            <c:invertIfNegative val="0"/>
            <c:bubble3D val="0"/>
            <c:spPr>
              <a:solidFill>
                <a:srgbClr val="C4649D"/>
              </a:solidFill>
              <a:ln w="12700">
                <a:solidFill>
                  <a:srgbClr val="000000"/>
                </a:solidFill>
                <a:prstDash val="solid"/>
              </a:ln>
              <a:effectLst>
                <a:outerShdw dist="35921" dir="2700000" algn="br">
                  <a:srgbClr val="000000"/>
                </a:outerShdw>
              </a:effectLst>
            </c:spPr>
          </c:dPt>
          <c:errBars>
            <c:errBarType val="both"/>
            <c:errValType val="cust"/>
            <c:noEndCap val="0"/>
            <c:plus>
              <c:numRef>
                <c:f>GRÁFICOS!$D$67</c:f>
                <c:numCache>
                  <c:formatCode>General</c:formatCode>
                  <c:ptCount val="1"/>
                  <c:pt idx="0">
                    <c:v>0.0</c:v>
                  </c:pt>
                </c:numCache>
              </c:numRef>
            </c:plus>
            <c:minus>
              <c:numRef>
                <c:f>GRÁFICOS!$D$67</c:f>
                <c:numCache>
                  <c:formatCode>General</c:formatCode>
                  <c:ptCount val="1"/>
                  <c:pt idx="0">
                    <c:v>0.0</c:v>
                  </c:pt>
                </c:numCache>
              </c:numRef>
            </c:minus>
            <c:spPr>
              <a:ln w="12700">
                <a:solidFill>
                  <a:srgbClr val="000000"/>
                </a:solidFill>
                <a:prstDash val="solid"/>
              </a:ln>
            </c:spPr>
          </c:errBars>
          <c:cat>
            <c:strRef>
              <c:f>GRÁFICOS!$B$67</c:f>
              <c:strCache>
                <c:ptCount val="1"/>
                <c:pt idx="0">
                  <c:v>% Coral</c:v>
                </c:pt>
              </c:strCache>
            </c:strRef>
          </c:cat>
          <c:val>
            <c:numRef>
              <c:f>GRÁFICOS!$C$67</c:f>
              <c:numCache>
                <c:formatCode>0.0</c:formatCode>
                <c:ptCount val="1"/>
                <c:pt idx="0">
                  <c:v>0.0</c:v>
                </c:pt>
              </c:numCache>
            </c:numRef>
          </c:val>
        </c:ser>
        <c:dLbls>
          <c:showLegendKey val="0"/>
          <c:showVal val="0"/>
          <c:showCatName val="0"/>
          <c:showSerName val="0"/>
          <c:showPercent val="0"/>
          <c:showBubbleSize val="0"/>
        </c:dLbls>
        <c:gapWidth val="150"/>
        <c:axId val="-2130167464"/>
        <c:axId val="2093913320"/>
      </c:barChart>
      <c:catAx>
        <c:axId val="-2130167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1" i="0" u="none" strike="noStrike" baseline="0">
                <a:solidFill>
                  <a:srgbClr val="000000"/>
                </a:solidFill>
                <a:latin typeface="Arial Narrow"/>
                <a:ea typeface="Arial Narrow"/>
                <a:cs typeface="Arial Narrow"/>
              </a:defRPr>
            </a:pPr>
            <a:endParaRPr lang="en-US"/>
          </a:p>
        </c:txPr>
        <c:crossAx val="2093913320"/>
        <c:crosses val="autoZero"/>
        <c:auto val="1"/>
        <c:lblAlgn val="ctr"/>
        <c:lblOffset val="100"/>
        <c:tickLblSkip val="1"/>
        <c:tickMarkSkip val="1"/>
        <c:noMultiLvlLbl val="0"/>
      </c:catAx>
      <c:valAx>
        <c:axId val="2093913320"/>
        <c:scaling>
          <c:orientation val="minMax"/>
        </c:scaling>
        <c:delete val="0"/>
        <c:axPos val="l"/>
        <c:majorGridlines>
          <c:spPr>
            <a:ln w="3175">
              <a:solidFill>
                <a:srgbClr val="FFFFFF"/>
              </a:solidFill>
              <a:prstDash val="solid"/>
            </a:ln>
          </c:spPr>
        </c:majorGridlines>
        <c:title>
          <c:tx>
            <c:rich>
              <a:bodyPr/>
              <a:lstStyle/>
              <a:p>
                <a:pPr>
                  <a:defRPr sz="800" b="1" i="0" u="none" strike="noStrike" baseline="0">
                    <a:solidFill>
                      <a:srgbClr val="000000"/>
                    </a:solidFill>
                    <a:latin typeface="Arial Narrow"/>
                    <a:ea typeface="Arial Narrow"/>
                    <a:cs typeface="Arial Narrow"/>
                  </a:defRPr>
                </a:pPr>
                <a:r>
                  <a:rPr lang="pt-BR"/>
                  <a:t>Cobertura de coral (%)</a:t>
                </a:r>
              </a:p>
            </c:rich>
          </c:tx>
          <c:layout>
            <c:manualLayout>
              <c:xMode val="edge"/>
              <c:yMode val="edge"/>
              <c:x val="0.050618501552928"/>
              <c:y val="0.26584849307629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Narrow"/>
                <a:ea typeface="Arial Narrow"/>
                <a:cs typeface="Arial Narrow"/>
              </a:defRPr>
            </a:pPr>
            <a:endParaRPr lang="en-US"/>
          </a:p>
        </c:txPr>
        <c:crossAx val="-21301674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00" b="1" i="0" u="none" strike="noStrike" baseline="0">
          <a:solidFill>
            <a:srgbClr val="000000"/>
          </a:solidFill>
          <a:latin typeface="Arial Narrow"/>
          <a:ea typeface="Arial Narrow"/>
          <a:cs typeface="Arial Narrow"/>
        </a:defRPr>
      </a:pPr>
      <a:endParaRPr lang="en-US"/>
    </a:p>
  </c:txPr>
  <c:printSettings>
    <c:headerFooter alignWithMargins="0"/>
    <c:pageMargins b="1.0" l="0.750000000000001" r="0.750000000000001" t="1.0"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266700</xdr:colOff>
      <xdr:row>8</xdr:row>
      <xdr:rowOff>38100</xdr:rowOff>
    </xdr:from>
    <xdr:to>
      <xdr:col>13</xdr:col>
      <xdr:colOff>495300</xdr:colOff>
      <xdr:row>24</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xdr:col>
      <xdr:colOff>228600</xdr:colOff>
      <xdr:row>37</xdr:row>
      <xdr:rowOff>28575</xdr:rowOff>
    </xdr:from>
    <xdr:to>
      <xdr:col>13</xdr:col>
      <xdr:colOff>514350</xdr:colOff>
      <xdr:row>52</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5</xdr:col>
      <xdr:colOff>57150</xdr:colOff>
      <xdr:row>57</xdr:row>
      <xdr:rowOff>38100</xdr:rowOff>
    </xdr:from>
    <xdr:to>
      <xdr:col>11</xdr:col>
      <xdr:colOff>209550</xdr:colOff>
      <xdr:row>66</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xdr:col>
      <xdr:colOff>28575</xdr:colOff>
      <xdr:row>66</xdr:row>
      <xdr:rowOff>123825</xdr:rowOff>
    </xdr:from>
    <xdr:to>
      <xdr:col>9</xdr:col>
      <xdr:colOff>552450</xdr:colOff>
      <xdr:row>80</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9</xdr:col>
      <xdr:colOff>409575</xdr:colOff>
      <xdr:row>66</xdr:row>
      <xdr:rowOff>133350</xdr:rowOff>
    </xdr:from>
    <xdr:to>
      <xdr:col>13</xdr:col>
      <xdr:colOff>714375</xdr:colOff>
      <xdr:row>80</xdr:row>
      <xdr:rowOff>47625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5</xdr:col>
      <xdr:colOff>76200</xdr:colOff>
      <xdr:row>80</xdr:row>
      <xdr:rowOff>133350</xdr:rowOff>
    </xdr:from>
    <xdr:to>
      <xdr:col>13</xdr:col>
      <xdr:colOff>723900</xdr:colOff>
      <xdr:row>97</xdr:row>
      <xdr:rowOff>38100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xdr:from>
      <xdr:col>9</xdr:col>
      <xdr:colOff>342900</xdr:colOff>
      <xdr:row>24</xdr:row>
      <xdr:rowOff>161925</xdr:rowOff>
    </xdr:from>
    <xdr:to>
      <xdr:col>13</xdr:col>
      <xdr:colOff>704850</xdr:colOff>
      <xdr:row>37</xdr:row>
      <xdr:rowOff>38100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xdr:from>
      <xdr:col>5</xdr:col>
      <xdr:colOff>28575</xdr:colOff>
      <xdr:row>25</xdr:row>
      <xdr:rowOff>9525</xdr:rowOff>
    </xdr:from>
    <xdr:to>
      <xdr:col>9</xdr:col>
      <xdr:colOff>266700</xdr:colOff>
      <xdr:row>37</xdr:row>
      <xdr:rowOff>57150</xdr:rowOff>
    </xdr:to>
    <xdr:graphicFrame macro="">
      <xdr:nvGraphicFramePr>
        <xdr:cNvPr id="9"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xdr:from>
      <xdr:col>6</xdr:col>
      <xdr:colOff>130969</xdr:colOff>
      <xdr:row>55</xdr:row>
      <xdr:rowOff>66675</xdr:rowOff>
    </xdr:from>
    <xdr:to>
      <xdr:col>13</xdr:col>
      <xdr:colOff>607219</xdr:colOff>
      <xdr:row>57</xdr:row>
      <xdr:rowOff>161925</xdr:rowOff>
    </xdr:to>
    <xdr:sp macro="" textlink="" fLocksText="0">
      <xdr:nvSpPr>
        <xdr:cNvPr id="10" name="CaixaDeTexto 9"/>
        <xdr:cNvSpPr txBox="1"/>
      </xdr:nvSpPr>
      <xdr:spPr>
        <a:xfrm>
          <a:off x="5226844" y="10372725"/>
          <a:ext cx="55435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pt-BR" sz="1300" b="1">
              <a:latin typeface="Arial Narrow" pitchFamily="34" charset="0"/>
            </a:rPr>
            <a:t>Gráficos de Impacto, Branqueamento e Doenças do Reef Check Brasil para Taquaruçu, 2m, 20/02/2019</a:t>
          </a:r>
          <a:endParaRPr lang="pt-BR" sz="1300" b="1">
            <a:solidFill>
              <a:srgbClr val="0000FF"/>
            </a:solidFill>
            <a:latin typeface="Arial Narrow" pitchFamily="34" charset="0"/>
          </a:endParaRPr>
        </a:p>
      </xdr:txBody>
    </xdr:sp>
    <xdr:clientData fLocksWithSheet="0"/>
  </xdr:twoCellAnchor>
  <xdr:twoCellAnchor>
    <xdr:from>
      <xdr:col>11</xdr:col>
      <xdr:colOff>144235</xdr:colOff>
      <xdr:row>57</xdr:row>
      <xdr:rowOff>63954</xdr:rowOff>
    </xdr:from>
    <xdr:to>
      <xdr:col>13</xdr:col>
      <xdr:colOff>687160</xdr:colOff>
      <xdr:row>66</xdr:row>
      <xdr:rowOff>178254</xdr:rowOff>
    </xdr:to>
    <xdr:graphicFrame macro="">
      <xdr:nvGraphicFramePr>
        <xdr:cNvPr id="1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xdr:from>
      <xdr:col>6</xdr:col>
      <xdr:colOff>161925</xdr:colOff>
      <xdr:row>5</xdr:row>
      <xdr:rowOff>83344</xdr:rowOff>
    </xdr:from>
    <xdr:to>
      <xdr:col>13</xdr:col>
      <xdr:colOff>71440</xdr:colOff>
      <xdr:row>8</xdr:row>
      <xdr:rowOff>59532</xdr:rowOff>
    </xdr:to>
    <xdr:sp macro="" textlink="" fLocksText="0">
      <xdr:nvSpPr>
        <xdr:cNvPr id="12" name="CaixaDeTexto 11"/>
        <xdr:cNvSpPr txBox="1"/>
      </xdr:nvSpPr>
      <xdr:spPr>
        <a:xfrm>
          <a:off x="5257800" y="1178719"/>
          <a:ext cx="4976815" cy="519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pt-BR" sz="1400" b="1">
              <a:latin typeface="Arial Narrow" pitchFamily="34" charset="0"/>
            </a:rPr>
            <a:t>Gráficos de Peixes e Invertebrados do Reef Check Brasil  para Taquaruçu, 2m, 20/02/2019</a:t>
          </a:r>
        </a:p>
      </xdr:txBody>
    </xdr:sp>
    <xdr:clientData fLocksWithSheet="0"/>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6"/>
  <sheetViews>
    <sheetView topLeftCell="A32" zoomScale="90" zoomScaleNormal="90" zoomScalePageLayoutView="90" workbookViewId="0">
      <selection activeCell="B20" sqref="B20"/>
    </sheetView>
  </sheetViews>
  <sheetFormatPr baseColWidth="10" defaultColWidth="8.83203125" defaultRowHeight="12" x14ac:dyDescent="0"/>
  <cols>
    <col min="1" max="1" width="117.6640625" style="3" customWidth="1"/>
    <col min="2" max="2" width="47.5" style="2" customWidth="1"/>
    <col min="3" max="16" width="8.83203125" style="2"/>
    <col min="17" max="16384" width="8.83203125" style="3"/>
  </cols>
  <sheetData>
    <row r="2" spans="1:16" ht="53.25" customHeight="1">
      <c r="A2" s="4" t="s">
        <v>410</v>
      </c>
      <c r="B2" s="4"/>
    </row>
    <row r="3" spans="1:16" ht="15">
      <c r="A3" s="1" t="s">
        <v>0</v>
      </c>
    </row>
    <row r="4" spans="1:16" ht="8.25" customHeight="1">
      <c r="A4" s="2"/>
    </row>
    <row r="5" spans="1:16" ht="49.5" customHeight="1">
      <c r="A5" s="4" t="s">
        <v>430</v>
      </c>
      <c r="B5" s="4"/>
    </row>
    <row r="6" spans="1:16" ht="15">
      <c r="A6" s="5"/>
    </row>
    <row r="7" spans="1:16" s="314" customFormat="1" ht="48.75" customHeight="1">
      <c r="A7" s="315" t="s">
        <v>428</v>
      </c>
      <c r="B7" s="315"/>
      <c r="C7" s="313"/>
      <c r="D7" s="313"/>
      <c r="E7" s="313"/>
      <c r="F7" s="313"/>
      <c r="G7" s="313"/>
      <c r="H7" s="313"/>
      <c r="I7" s="313"/>
      <c r="J7" s="313"/>
      <c r="K7" s="313"/>
      <c r="L7" s="313"/>
      <c r="M7" s="313"/>
      <c r="N7" s="313"/>
      <c r="O7" s="313"/>
      <c r="P7" s="313"/>
    </row>
    <row r="8" spans="1:16" s="314" customFormat="1" ht="15">
      <c r="A8" s="316"/>
      <c r="B8" s="313"/>
      <c r="C8" s="313"/>
      <c r="D8" s="313"/>
      <c r="E8" s="313"/>
      <c r="F8" s="313"/>
      <c r="G8" s="313"/>
      <c r="H8" s="313"/>
      <c r="I8" s="313"/>
      <c r="J8" s="313"/>
      <c r="K8" s="313"/>
      <c r="L8" s="313"/>
      <c r="M8" s="313"/>
      <c r="N8" s="313"/>
      <c r="O8" s="313"/>
      <c r="P8" s="313"/>
    </row>
    <row r="9" spans="1:16" s="314" customFormat="1" ht="141" customHeight="1">
      <c r="A9" s="315" t="s">
        <v>432</v>
      </c>
      <c r="B9" s="315"/>
      <c r="C9" s="313"/>
      <c r="D9" s="313"/>
      <c r="E9" s="313"/>
      <c r="F9" s="313"/>
      <c r="G9" s="313"/>
      <c r="H9" s="313"/>
      <c r="I9" s="313"/>
      <c r="J9" s="313"/>
      <c r="K9" s="313"/>
      <c r="L9" s="313"/>
      <c r="M9" s="313"/>
      <c r="N9" s="313"/>
      <c r="O9" s="313"/>
      <c r="P9" s="313"/>
    </row>
    <row r="10" spans="1:16" s="314" customFormat="1" ht="15">
      <c r="A10" s="316"/>
      <c r="B10" s="313"/>
      <c r="C10" s="313"/>
      <c r="D10" s="313"/>
      <c r="E10" s="313"/>
      <c r="F10" s="313"/>
      <c r="G10" s="313"/>
      <c r="H10" s="313"/>
      <c r="I10" s="313"/>
      <c r="J10" s="313"/>
      <c r="K10" s="313"/>
      <c r="L10" s="313"/>
      <c r="M10" s="313"/>
      <c r="N10" s="313"/>
      <c r="O10" s="313"/>
      <c r="P10" s="313"/>
    </row>
    <row r="11" spans="1:16" ht="62.25" customHeight="1">
      <c r="A11" s="317" t="s">
        <v>431</v>
      </c>
      <c r="B11" s="4"/>
    </row>
    <row r="12" spans="1:16" ht="15">
      <c r="A12" s="5"/>
    </row>
    <row r="13" spans="1:16" ht="18.75" customHeight="1">
      <c r="A13" s="6" t="s">
        <v>429</v>
      </c>
      <c r="B13" s="6"/>
    </row>
    <row r="14" spans="1:16" ht="15">
      <c r="A14" s="5"/>
    </row>
    <row r="15" spans="1:16" ht="15">
      <c r="A15" s="5"/>
    </row>
    <row r="16" spans="1:16" ht="15">
      <c r="A16" s="1" t="s">
        <v>1</v>
      </c>
    </row>
    <row r="17" spans="1:16" ht="15">
      <c r="A17" s="1"/>
    </row>
    <row r="18" spans="1:16" ht="31.5" customHeight="1">
      <c r="A18" s="4" t="s">
        <v>411</v>
      </c>
      <c r="B18" s="4"/>
    </row>
    <row r="19" spans="1:16" ht="15">
      <c r="A19" s="1"/>
    </row>
    <row r="20" spans="1:16" ht="47.25" customHeight="1">
      <c r="A20" s="4" t="s">
        <v>412</v>
      </c>
      <c r="B20" s="4"/>
    </row>
    <row r="21" spans="1:16" ht="15">
      <c r="A21" s="1"/>
    </row>
    <row r="22" spans="1:16" ht="32.25" customHeight="1">
      <c r="A22" s="4" t="s">
        <v>413</v>
      </c>
      <c r="B22" s="4"/>
    </row>
    <row r="23" spans="1:16" ht="19.5" customHeight="1">
      <c r="A23" s="4"/>
      <c r="B23" s="4"/>
    </row>
    <row r="24" spans="1:16" ht="15">
      <c r="A24" s="8"/>
    </row>
    <row r="25" spans="1:16" ht="15">
      <c r="A25" s="1" t="s">
        <v>2</v>
      </c>
    </row>
    <row r="26" spans="1:16" ht="15">
      <c r="A26" s="6"/>
      <c r="B26" s="6"/>
    </row>
    <row r="27" spans="1:16" s="7" customFormat="1" ht="15">
      <c r="A27" s="318" t="s">
        <v>414</v>
      </c>
      <c r="B27" s="4"/>
      <c r="C27" s="2"/>
      <c r="D27" s="2"/>
      <c r="E27" s="2"/>
      <c r="F27" s="2"/>
      <c r="G27" s="2"/>
      <c r="H27" s="2"/>
      <c r="I27" s="2"/>
      <c r="J27" s="2"/>
      <c r="K27" s="2"/>
      <c r="L27" s="2"/>
      <c r="M27" s="2"/>
      <c r="N27" s="2"/>
      <c r="O27" s="2"/>
      <c r="P27" s="2"/>
    </row>
    <row r="28" spans="1:16" s="7" customFormat="1" ht="30">
      <c r="A28" s="318" t="s">
        <v>415</v>
      </c>
      <c r="B28" s="4"/>
      <c r="C28" s="2"/>
      <c r="D28" s="2"/>
      <c r="E28" s="2"/>
      <c r="F28" s="2"/>
      <c r="G28" s="2"/>
      <c r="H28" s="2"/>
      <c r="I28" s="2"/>
      <c r="J28" s="2"/>
      <c r="K28" s="2"/>
      <c r="L28" s="2"/>
      <c r="M28" s="2"/>
      <c r="N28" s="2"/>
      <c r="O28" s="2"/>
      <c r="P28" s="2"/>
    </row>
    <row r="29" spans="1:16" s="7" customFormat="1" ht="15">
      <c r="A29" s="10"/>
      <c r="B29" s="11"/>
      <c r="C29" s="2"/>
      <c r="D29" s="2"/>
      <c r="E29" s="2"/>
      <c r="F29" s="2"/>
      <c r="G29" s="2"/>
      <c r="H29" s="2"/>
      <c r="I29" s="2"/>
      <c r="J29" s="2"/>
      <c r="K29" s="2"/>
      <c r="L29" s="2"/>
      <c r="M29" s="2"/>
      <c r="N29" s="2"/>
      <c r="O29" s="2"/>
      <c r="P29" s="2"/>
    </row>
    <row r="30" spans="1:16" s="7" customFormat="1" ht="30">
      <c r="A30" s="9" t="s">
        <v>3</v>
      </c>
      <c r="B30" s="4"/>
      <c r="C30" s="2"/>
      <c r="D30" s="2"/>
      <c r="E30" s="2"/>
      <c r="F30" s="2"/>
      <c r="G30" s="2"/>
      <c r="H30" s="2"/>
      <c r="I30" s="2"/>
      <c r="J30" s="2"/>
      <c r="K30" s="2"/>
      <c r="L30" s="2"/>
      <c r="M30" s="2"/>
      <c r="N30" s="2"/>
      <c r="O30" s="2"/>
      <c r="P30" s="2"/>
    </row>
    <row r="31" spans="1:16" s="7" customFormat="1" ht="15">
      <c r="A31" s="12" t="s">
        <v>4</v>
      </c>
      <c r="B31" s="2"/>
      <c r="C31" s="2"/>
      <c r="D31" s="2"/>
      <c r="E31" s="2"/>
      <c r="F31" s="2"/>
      <c r="G31" s="2"/>
      <c r="H31" s="2"/>
      <c r="I31" s="2"/>
      <c r="J31" s="2"/>
      <c r="K31" s="2"/>
      <c r="L31" s="2"/>
      <c r="M31" s="2"/>
      <c r="N31" s="2"/>
      <c r="O31" s="2"/>
      <c r="P31" s="2"/>
    </row>
    <row r="32" spans="1:16" s="7" customFormat="1" ht="15">
      <c r="A32" s="13" t="s">
        <v>5</v>
      </c>
      <c r="B32" s="2"/>
      <c r="C32" s="2"/>
      <c r="D32" s="2"/>
      <c r="E32" s="2"/>
      <c r="F32" s="2"/>
      <c r="G32" s="2"/>
      <c r="H32" s="2"/>
      <c r="I32" s="2"/>
      <c r="J32" s="2"/>
      <c r="K32" s="2"/>
      <c r="L32" s="2"/>
      <c r="M32" s="2"/>
      <c r="N32" s="2"/>
      <c r="O32" s="2"/>
      <c r="P32" s="2"/>
    </row>
    <row r="33" spans="1:16" s="7" customFormat="1" ht="15">
      <c r="A33" s="13"/>
      <c r="B33" s="2"/>
      <c r="C33" s="2"/>
      <c r="D33" s="2"/>
      <c r="E33" s="2"/>
      <c r="F33" s="2"/>
      <c r="G33" s="2"/>
      <c r="H33" s="2"/>
      <c r="I33" s="2"/>
      <c r="J33" s="2"/>
      <c r="K33" s="2"/>
      <c r="L33" s="2"/>
      <c r="M33" s="2"/>
      <c r="N33" s="2"/>
      <c r="O33" s="2"/>
      <c r="P33" s="2"/>
    </row>
    <row r="34" spans="1:16" s="7" customFormat="1" ht="15">
      <c r="A34" s="14" t="s">
        <v>6</v>
      </c>
      <c r="B34" s="2"/>
      <c r="C34" s="2"/>
      <c r="D34" s="2"/>
      <c r="E34" s="2"/>
      <c r="F34" s="2"/>
      <c r="G34" s="2"/>
      <c r="H34" s="2"/>
      <c r="I34" s="2"/>
      <c r="J34" s="2"/>
      <c r="K34" s="2"/>
      <c r="L34" s="2"/>
      <c r="M34" s="2"/>
      <c r="N34" s="2"/>
      <c r="O34" s="2"/>
      <c r="P34" s="2"/>
    </row>
    <row r="35" spans="1:16" s="7" customFormat="1" ht="19.5" customHeight="1">
      <c r="A35" s="14"/>
      <c r="B35" s="2"/>
      <c r="C35" s="2"/>
      <c r="D35" s="2"/>
      <c r="E35" s="2"/>
      <c r="F35" s="2"/>
      <c r="G35" s="2"/>
      <c r="H35" s="2"/>
      <c r="I35" s="2"/>
      <c r="J35" s="2"/>
      <c r="K35" s="2"/>
      <c r="L35" s="2"/>
      <c r="M35" s="2"/>
      <c r="N35" s="2"/>
      <c r="O35" s="2"/>
      <c r="P35" s="2"/>
    </row>
    <row r="36" spans="1:16" ht="10.5" customHeight="1">
      <c r="A36" s="2"/>
    </row>
    <row r="37" spans="1:16" ht="15">
      <c r="A37" s="1" t="s">
        <v>7</v>
      </c>
    </row>
    <row r="38" spans="1:16" ht="11.25" customHeight="1">
      <c r="A38" s="4"/>
      <c r="B38" s="4"/>
    </row>
    <row r="39" spans="1:16" s="7" customFormat="1" ht="97.5" customHeight="1">
      <c r="A39" s="9" t="s">
        <v>8</v>
      </c>
      <c r="B39" s="4"/>
      <c r="C39" s="2"/>
      <c r="D39" s="2"/>
      <c r="E39" s="2"/>
      <c r="F39" s="2"/>
      <c r="G39" s="2"/>
      <c r="H39" s="2"/>
      <c r="I39" s="2"/>
      <c r="J39" s="2"/>
      <c r="K39" s="2"/>
      <c r="L39" s="2"/>
      <c r="M39" s="2"/>
      <c r="N39" s="2"/>
      <c r="O39" s="2"/>
      <c r="P39" s="2"/>
    </row>
    <row r="40" spans="1:16" s="7" customFormat="1" ht="15">
      <c r="A40" s="15"/>
      <c r="B40" s="2"/>
      <c r="C40" s="2"/>
      <c r="D40" s="2"/>
      <c r="E40" s="2"/>
      <c r="F40" s="2"/>
      <c r="G40" s="2"/>
      <c r="H40" s="2"/>
      <c r="I40" s="2"/>
      <c r="J40" s="2"/>
      <c r="K40" s="2"/>
      <c r="L40" s="2"/>
      <c r="M40" s="2"/>
      <c r="N40" s="2"/>
      <c r="O40" s="2"/>
      <c r="P40" s="2"/>
    </row>
    <row r="41" spans="1:16" s="7" customFormat="1" ht="45">
      <c r="A41" s="9" t="s">
        <v>9</v>
      </c>
      <c r="B41" s="4"/>
      <c r="C41" s="2"/>
      <c r="D41" s="2"/>
      <c r="E41" s="2"/>
      <c r="F41" s="2"/>
      <c r="G41" s="2"/>
      <c r="H41" s="2"/>
      <c r="I41" s="2"/>
      <c r="J41" s="2"/>
      <c r="K41" s="2"/>
      <c r="L41" s="2"/>
      <c r="M41" s="2"/>
      <c r="N41" s="2"/>
      <c r="O41" s="2"/>
      <c r="P41" s="2"/>
    </row>
    <row r="42" spans="1:16" s="7" customFormat="1" ht="15">
      <c r="A42" s="15"/>
      <c r="B42" s="2"/>
      <c r="C42" s="2"/>
      <c r="D42" s="2"/>
      <c r="E42" s="2"/>
      <c r="F42" s="2"/>
      <c r="G42" s="2"/>
      <c r="H42" s="2"/>
      <c r="I42" s="2"/>
      <c r="J42" s="2"/>
      <c r="K42" s="2"/>
      <c r="L42" s="2"/>
      <c r="M42" s="2"/>
      <c r="N42" s="2"/>
      <c r="O42" s="2"/>
      <c r="P42" s="2"/>
    </row>
    <row r="43" spans="1:16" s="7" customFormat="1" ht="45" customHeight="1">
      <c r="A43" s="9" t="s">
        <v>416</v>
      </c>
      <c r="B43" s="4"/>
      <c r="C43" s="2"/>
      <c r="D43" s="2"/>
      <c r="E43" s="2"/>
      <c r="F43" s="2"/>
      <c r="G43" s="2"/>
      <c r="H43" s="2"/>
      <c r="I43" s="2"/>
      <c r="J43" s="2"/>
      <c r="K43" s="2"/>
      <c r="L43" s="2"/>
      <c r="M43" s="2"/>
      <c r="N43" s="2"/>
      <c r="O43" s="2"/>
      <c r="P43" s="2"/>
    </row>
    <row r="44" spans="1:16" s="7" customFormat="1" ht="15">
      <c r="A44" s="15"/>
      <c r="B44" s="2"/>
      <c r="C44" s="2"/>
      <c r="D44" s="2"/>
      <c r="E44" s="2"/>
      <c r="F44" s="2"/>
      <c r="G44" s="2"/>
      <c r="H44" s="2"/>
      <c r="I44" s="2"/>
      <c r="J44" s="2"/>
      <c r="K44" s="2"/>
      <c r="L44" s="2"/>
      <c r="M44" s="2"/>
      <c r="N44" s="2"/>
      <c r="O44" s="2"/>
      <c r="P44" s="2"/>
    </row>
    <row r="45" spans="1:16" s="7" customFormat="1" ht="63" customHeight="1">
      <c r="A45" s="9" t="s">
        <v>10</v>
      </c>
      <c r="B45" s="4"/>
      <c r="C45" s="2"/>
      <c r="D45" s="2"/>
      <c r="E45" s="2"/>
      <c r="F45" s="2"/>
      <c r="G45" s="2"/>
      <c r="H45" s="2"/>
      <c r="I45" s="2"/>
      <c r="J45" s="2"/>
      <c r="K45" s="2"/>
      <c r="L45" s="2"/>
      <c r="M45" s="2"/>
      <c r="N45" s="2"/>
      <c r="O45" s="2"/>
      <c r="P45" s="2"/>
    </row>
    <row r="46" spans="1:16" s="7" customFormat="1" ht="15">
      <c r="A46" s="9"/>
      <c r="B46" s="4"/>
      <c r="C46" s="2"/>
      <c r="D46" s="2"/>
      <c r="E46" s="2"/>
      <c r="F46" s="2"/>
      <c r="G46" s="2"/>
      <c r="H46" s="2"/>
      <c r="I46" s="2"/>
      <c r="J46" s="2"/>
      <c r="K46" s="2"/>
      <c r="L46" s="2"/>
      <c r="M46" s="2"/>
      <c r="N46" s="2"/>
      <c r="O46" s="2"/>
      <c r="P46" s="2"/>
    </row>
    <row r="47" spans="1:16" s="7" customFormat="1" ht="15">
      <c r="A47" s="9"/>
      <c r="B47" s="4"/>
      <c r="C47" s="2"/>
      <c r="D47" s="2"/>
      <c r="E47" s="2"/>
      <c r="F47" s="2"/>
      <c r="G47" s="2"/>
      <c r="H47" s="2"/>
      <c r="I47" s="2"/>
      <c r="J47" s="2"/>
      <c r="K47" s="2"/>
      <c r="L47" s="2"/>
      <c r="M47" s="2"/>
      <c r="N47" s="2"/>
      <c r="O47" s="2"/>
      <c r="P47" s="2"/>
    </row>
    <row r="48" spans="1:16" s="7" customFormat="1" ht="15">
      <c r="A48" s="9"/>
      <c r="B48" s="4"/>
      <c r="C48" s="2"/>
      <c r="D48" s="2"/>
      <c r="E48" s="2"/>
      <c r="F48" s="2"/>
      <c r="G48" s="2"/>
      <c r="H48" s="2"/>
      <c r="I48" s="2"/>
      <c r="J48" s="2"/>
      <c r="K48" s="2"/>
      <c r="L48" s="2"/>
      <c r="M48" s="2"/>
      <c r="N48" s="2"/>
      <c r="O48" s="2"/>
      <c r="P48" s="2"/>
    </row>
    <row r="49" spans="1:2" ht="15">
      <c r="A49" s="8" t="s">
        <v>11</v>
      </c>
    </row>
    <row r="50" spans="1:2" ht="38.25" customHeight="1">
      <c r="A50" s="4" t="s">
        <v>417</v>
      </c>
      <c r="B50" s="4"/>
    </row>
    <row r="51" spans="1:2" ht="15">
      <c r="A51" s="5"/>
    </row>
    <row r="52" spans="1:2" ht="34.5" customHeight="1">
      <c r="A52" s="4" t="s">
        <v>12</v>
      </c>
      <c r="B52" s="4"/>
    </row>
    <row r="53" spans="1:2" ht="15">
      <c r="A53" s="5"/>
    </row>
    <row r="54" spans="1:2" ht="37.5" customHeight="1">
      <c r="A54" s="4" t="s">
        <v>13</v>
      </c>
      <c r="B54" s="4"/>
    </row>
    <row r="55" spans="1:2" s="2" customFormat="1"/>
    <row r="56" spans="1:2" s="2" customFormat="1"/>
    <row r="57" spans="1:2" s="2" customFormat="1"/>
    <row r="58" spans="1:2" s="2" customFormat="1"/>
    <row r="59" spans="1:2" s="2" customFormat="1"/>
    <row r="60" spans="1:2" s="2" customFormat="1"/>
    <row r="61" spans="1:2" s="2" customFormat="1"/>
    <row r="62" spans="1:2" s="2" customFormat="1"/>
    <row r="63" spans="1:2" s="2" customFormat="1"/>
    <row r="64" spans="1:2"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sheetData>
  <sheetProtection password="C446" sheet="1" objects="1" scenarios="1"/>
  <pageMargins left="0.51181102362204722" right="0.51181102362204722" top="0.78740157480314965" bottom="0.78740157480314965" header="0.31496062992125984" footer="0.31496062992125984"/>
  <headerFooter>
    <oddHeader>&amp;CReef Check Brasil - instruções peixes e invertebrados</oddHeader>
    <oddFooter>Página &amp;P de &amp;N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K758"/>
  <sheetViews>
    <sheetView zoomScale="90" zoomScaleNormal="90" zoomScalePageLayoutView="90" workbookViewId="0">
      <selection activeCell="H6" sqref="H6"/>
    </sheetView>
  </sheetViews>
  <sheetFormatPr baseColWidth="10" defaultColWidth="8.83203125" defaultRowHeight="12" x14ac:dyDescent="0"/>
  <cols>
    <col min="1" max="1" width="2.1640625" style="2" customWidth="1"/>
    <col min="2" max="2" width="38.1640625" style="3" customWidth="1"/>
    <col min="3" max="5" width="8.83203125" style="3"/>
    <col min="6" max="6" width="11.33203125" style="3" customWidth="1"/>
    <col min="7" max="7" width="8.5" style="3" customWidth="1"/>
    <col min="8" max="8" width="8.83203125" style="3"/>
    <col min="9" max="9" width="9.6640625" style="3" customWidth="1"/>
    <col min="10" max="10" width="1.33203125" style="3" customWidth="1"/>
    <col min="11" max="37" width="8.83203125" style="2"/>
    <col min="38" max="16384" width="8.83203125" style="3"/>
  </cols>
  <sheetData>
    <row r="1" spans="1:37" ht="4.5" customHeight="1" thickBot="1"/>
    <row r="2" spans="1:37" s="20" customFormat="1" ht="4.5" customHeight="1" thickBot="1">
      <c r="A2" s="16"/>
      <c r="B2" s="346"/>
      <c r="C2" s="347"/>
      <c r="D2" s="347"/>
      <c r="E2" s="348"/>
      <c r="F2" s="348"/>
      <c r="G2" s="348"/>
      <c r="H2" s="348"/>
      <c r="I2" s="348"/>
      <c r="J2" s="17"/>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9"/>
    </row>
    <row r="3" spans="1:37" s="20" customFormat="1" ht="14" thickBot="1">
      <c r="A3" s="16"/>
      <c r="B3" s="21" t="s">
        <v>14</v>
      </c>
      <c r="C3" s="349" t="s">
        <v>447</v>
      </c>
      <c r="D3" s="350"/>
      <c r="E3" s="351"/>
      <c r="F3" s="22"/>
      <c r="G3" s="23" t="s">
        <v>15</v>
      </c>
      <c r="H3" s="352" t="s">
        <v>439</v>
      </c>
      <c r="I3" s="329"/>
      <c r="J3" s="24"/>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9"/>
    </row>
    <row r="4" spans="1:37" s="20" customFormat="1" ht="14" thickBot="1">
      <c r="A4" s="16"/>
      <c r="B4" s="21" t="s">
        <v>16</v>
      </c>
      <c r="C4" s="352">
        <v>2</v>
      </c>
      <c r="D4" s="353"/>
      <c r="E4" s="329"/>
      <c r="F4" s="22"/>
      <c r="G4" s="23" t="s">
        <v>17</v>
      </c>
      <c r="H4" s="354">
        <v>43516</v>
      </c>
      <c r="I4" s="329"/>
      <c r="J4" s="24"/>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9"/>
    </row>
    <row r="5" spans="1:37" s="20" customFormat="1" ht="14" thickBot="1">
      <c r="A5" s="16"/>
      <c r="B5" s="21" t="s">
        <v>18</v>
      </c>
      <c r="C5" s="325" t="s">
        <v>440</v>
      </c>
      <c r="D5" s="326"/>
      <c r="E5" s="327"/>
      <c r="F5" s="22"/>
      <c r="G5" s="23" t="s">
        <v>398</v>
      </c>
      <c r="H5" s="328" t="s">
        <v>448</v>
      </c>
      <c r="I5" s="329"/>
      <c r="J5" s="25"/>
      <c r="K5" s="18"/>
      <c r="L5" s="18"/>
      <c r="O5" s="18"/>
      <c r="P5" s="18"/>
      <c r="Q5" s="18"/>
      <c r="R5" s="18"/>
      <c r="S5" s="18"/>
      <c r="T5" s="18"/>
      <c r="U5" s="18"/>
      <c r="V5" s="18"/>
      <c r="W5" s="18"/>
      <c r="X5" s="18"/>
      <c r="Y5" s="18"/>
      <c r="Z5" s="18"/>
      <c r="AA5" s="18"/>
      <c r="AB5" s="18"/>
      <c r="AC5" s="18"/>
      <c r="AD5" s="18"/>
      <c r="AE5" s="18"/>
      <c r="AF5" s="18"/>
      <c r="AG5" s="18"/>
      <c r="AH5" s="18"/>
      <c r="AI5" s="18"/>
      <c r="AJ5" s="18"/>
      <c r="AK5" s="19"/>
    </row>
    <row r="6" spans="1:37" ht="6" customHeight="1">
      <c r="B6" s="26"/>
      <c r="C6" s="27"/>
      <c r="D6" s="27"/>
      <c r="E6" s="28"/>
      <c r="F6" s="28"/>
      <c r="G6" s="27"/>
      <c r="H6" s="27"/>
      <c r="I6" s="27"/>
      <c r="J6" s="24"/>
    </row>
    <row r="7" spans="1:37" ht="13" thickBot="1">
      <c r="B7" s="330"/>
      <c r="C7" s="331"/>
      <c r="D7" s="331"/>
      <c r="E7" s="331"/>
      <c r="F7" s="331"/>
      <c r="G7" s="331"/>
      <c r="H7" s="331"/>
      <c r="I7" s="331"/>
      <c r="J7" s="332"/>
    </row>
    <row r="8" spans="1:37" ht="5.25" customHeight="1" thickBot="1">
      <c r="B8" s="29"/>
      <c r="C8" s="30"/>
      <c r="D8" s="30"/>
      <c r="E8" s="30"/>
      <c r="F8" s="30"/>
      <c r="G8" s="30"/>
      <c r="H8" s="30"/>
      <c r="I8" s="30"/>
      <c r="J8" s="31"/>
    </row>
    <row r="9" spans="1:37" ht="14" thickBot="1">
      <c r="B9" s="32" t="s">
        <v>19</v>
      </c>
      <c r="C9" s="333" t="s">
        <v>442</v>
      </c>
      <c r="D9" s="334"/>
      <c r="E9" s="334"/>
      <c r="F9" s="334"/>
      <c r="G9" s="334"/>
      <c r="H9" s="334"/>
      <c r="I9" s="335"/>
      <c r="J9" s="24"/>
    </row>
    <row r="10" spans="1:37" ht="5.25" customHeight="1" thickBot="1">
      <c r="B10" s="33"/>
      <c r="C10" s="34"/>
      <c r="D10" s="34"/>
      <c r="E10" s="34"/>
      <c r="F10" s="34"/>
      <c r="G10" s="27"/>
      <c r="H10" s="27"/>
      <c r="I10" s="27"/>
      <c r="J10" s="24"/>
    </row>
    <row r="11" spans="1:37" ht="18" thickBot="1">
      <c r="B11" s="35" t="s">
        <v>20</v>
      </c>
      <c r="C11" s="36" t="s">
        <v>21</v>
      </c>
      <c r="D11" s="37" t="s">
        <v>22</v>
      </c>
      <c r="E11" s="38" t="s">
        <v>23</v>
      </c>
      <c r="F11" s="37" t="s">
        <v>24</v>
      </c>
      <c r="G11" s="39" t="s">
        <v>25</v>
      </c>
      <c r="H11" s="39" t="s">
        <v>26</v>
      </c>
      <c r="I11" s="39" t="s">
        <v>27</v>
      </c>
      <c r="J11" s="40"/>
    </row>
    <row r="12" spans="1:37" ht="14" thickBot="1">
      <c r="B12" s="41" t="s">
        <v>28</v>
      </c>
      <c r="C12" s="42">
        <f>SUMIF('DADOS PEIXES'!$F$16:$F$65, "Borboletas", 'DADOS PEIXES'!$I$16:$I$65)</f>
        <v>5</v>
      </c>
      <c r="D12" s="42">
        <f>SUMIF('DADOS PEIXES'!$J$16:$J$65, "Borboletas", 'DADOS PEIXES'!$M$16:$M$65)</f>
        <v>20</v>
      </c>
      <c r="E12" s="42">
        <f>SUMIF('DADOS PEIXES'!$P$16:$P$65, "Borboletas", 'DADOS PEIXES'!$S$16:$S$65)</f>
        <v>15</v>
      </c>
      <c r="F12" s="43">
        <f>SUMIF('DADOS PEIXES'!$T$16:$T$65, "Borboletas", 'DADOS PEIXES'!$W$16:$W$65)</f>
        <v>0</v>
      </c>
      <c r="G12" s="44">
        <f>SUM(C12:D12:E12:F12)</f>
        <v>40</v>
      </c>
      <c r="H12" s="44">
        <f>AVERAGE(C12:D12:E12:F12)</f>
        <v>10</v>
      </c>
      <c r="I12" s="298">
        <f>STDEV(C12:D12:E12:F12)</f>
        <v>9.1287092917527684</v>
      </c>
      <c r="J12" s="45"/>
    </row>
    <row r="13" spans="1:37" ht="14" thickBot="1">
      <c r="B13" s="41" t="s">
        <v>29</v>
      </c>
      <c r="C13" s="42">
        <f>SUMIF('DADOS PEIXES'!$F$16:$F$65, "Cirurgiões &gt; 20 cm", 'DADOS PEIXES'!$I$16:$I$65)</f>
        <v>0</v>
      </c>
      <c r="D13" s="42">
        <f>SUMIF('DADOS PEIXES'!$J$16:$J$65,  "Cirurgiões &gt; 20 cm", 'DADOS PEIXES'!$M$16:$M$65)</f>
        <v>0</v>
      </c>
      <c r="E13" s="42">
        <f>SUMIF('DADOS PEIXES'!$P$16:$P$65, "Cirurgiões &gt; 20 cm", 'DADOS PEIXES'!$S$16:$S$65)</f>
        <v>0</v>
      </c>
      <c r="F13" s="43">
        <f>SUMIF('DADOS PEIXES'!$T$16:$T$65, "Cirurgiões &gt; 20 cm", 'DADOS PEIXES'!$W$16:$W$65)</f>
        <v>0</v>
      </c>
      <c r="G13" s="44">
        <f>SUM(C13:D13:E13:F13)</f>
        <v>0</v>
      </c>
      <c r="H13" s="44">
        <f>AVERAGE(C13:D13:E13:F13)</f>
        <v>0</v>
      </c>
      <c r="I13" s="298">
        <f>STDEV(C13:D13:E13:F13)</f>
        <v>0</v>
      </c>
      <c r="J13" s="45"/>
    </row>
    <row r="14" spans="1:37" ht="14" thickBot="1">
      <c r="B14" s="41" t="s">
        <v>30</v>
      </c>
      <c r="C14" s="42">
        <f>SUMIF('DADOS PEIXES'!$F$16:$F$65, "Cirurgiões ≤ 20 cm", 'DADOS PEIXES'!$I$16:$I$65)</f>
        <v>3</v>
      </c>
      <c r="D14" s="42">
        <f>SUMIF('DADOS PEIXES'!$J$16:$J$65, "Cirurgiões ≤ 20 cm", 'DADOS PEIXES'!$M$16:$M$65)</f>
        <v>13</v>
      </c>
      <c r="E14" s="42">
        <f>SUMIF('DADOS PEIXES'!$P$16:$P$65, "Cirurgiões ≤ 20 cm", 'DADOS PEIXES'!$S$16:$S$65)</f>
        <v>54</v>
      </c>
      <c r="F14" s="43">
        <f>SUMIF('DADOS PEIXES'!$T$16:$T$65, "Cirurgiões ≤ 20 cm", 'DADOS PEIXES'!$W$16:$W$65)</f>
        <v>0</v>
      </c>
      <c r="G14" s="44">
        <f>SUM(C14:D14:E14:F14)</f>
        <v>70</v>
      </c>
      <c r="H14" s="44">
        <f>AVERAGE(C14:D14:E14:F14)</f>
        <v>17.5</v>
      </c>
      <c r="I14" s="298">
        <f>STDEV(C14:D14:E14:F14)</f>
        <v>24.959967948697368</v>
      </c>
      <c r="J14" s="45"/>
    </row>
    <row r="15" spans="1:37" ht="15" thickBot="1">
      <c r="B15" s="41" t="s">
        <v>365</v>
      </c>
      <c r="C15" s="42">
        <f>SUMIF('DADOS PEIXES'!$F$16:$F$65, "Garoupas &gt; 30cm", 'DADOS PEIXES'!$I$16:$I$65)</f>
        <v>0</v>
      </c>
      <c r="D15" s="42">
        <f>SUMIF('DADOS PEIXES'!$J$16:$J$65, "Garoupas &gt; 30cm", 'DADOS PEIXES'!$M$16:$M$65)</f>
        <v>0</v>
      </c>
      <c r="E15" s="42">
        <f>SUMIF('DADOS PEIXES'!$P$16:$P$65, "Garoupas &gt; 30cm", 'DADOS PEIXES'!$S$16:$S$65)</f>
        <v>0</v>
      </c>
      <c r="F15" s="43">
        <f>SUMIF('DADOS PEIXES'!$T$16:$T$65, "Garoupas &gt; 30cm", 'DADOS PEIXES'!$W$16:$W$65)</f>
        <v>0</v>
      </c>
      <c r="G15" s="44">
        <f>SUM(C15:D15:E15:F15)</f>
        <v>0</v>
      </c>
      <c r="H15" s="44">
        <f>AVERAGE(C15:D15:E15:F15)</f>
        <v>0</v>
      </c>
      <c r="I15" s="298">
        <f>STDEV(C15:D15:E15:F15)</f>
        <v>0</v>
      </c>
      <c r="J15" s="45"/>
    </row>
    <row r="16" spans="1:37" ht="14" thickBot="1">
      <c r="B16" s="41" t="s">
        <v>366</v>
      </c>
      <c r="C16" s="42">
        <f>SUMIF('DADOS PEIXES'!$F$16:$F$65, "Garoupas ≤ 30cm", 'DADOS PEIXES'!$I$16:$I$65)</f>
        <v>0</v>
      </c>
      <c r="D16" s="42">
        <f>SUMIF('DADOS PEIXES'!$J$16:$J$65, "Garoupas ≤ 30cm", 'DADOS PEIXES'!$M$16:$M$65)</f>
        <v>0</v>
      </c>
      <c r="E16" s="42">
        <f>SUMIF('DADOS PEIXES'!$P$16:$P$65, "Garoupas ≤ 30cm", 'DADOS PEIXES'!$S$16:$S$65)</f>
        <v>1</v>
      </c>
      <c r="F16" s="43">
        <f>SUMIF('DADOS PEIXES'!$T$16:$T$65, "Garoupas ≤ 30cm", 'DADOS PEIXES'!$W$16:$W$65)</f>
        <v>0</v>
      </c>
      <c r="G16" s="44">
        <f>SUM(C16:D16:E16:F16)</f>
        <v>1</v>
      </c>
      <c r="H16" s="44">
        <f>AVERAGE(C16:D16:E16:F16)</f>
        <v>0.25</v>
      </c>
      <c r="I16" s="298">
        <f>STDEV(C16:D16:E16:F16)</f>
        <v>0.5</v>
      </c>
      <c r="J16" s="45"/>
    </row>
    <row r="17" spans="1:37" ht="14" thickBot="1">
      <c r="B17" s="41" t="s">
        <v>31</v>
      </c>
      <c r="C17" s="42">
        <f>SUMIF('DADOS PEIXES'!$F$16:$F$65, "Mero", 'DADOS PEIXES'!$I$16:$I$65)</f>
        <v>0</v>
      </c>
      <c r="D17" s="42">
        <f>SUMIF('DADOS PEIXES'!$J$16:$J$65, "Mero", 'DADOS PEIXES'!$M$16:$M$65)</f>
        <v>0</v>
      </c>
      <c r="E17" s="42">
        <f>SUMIF('DADOS PEIXES'!$P$16:$P$65, "Mero", 'DADOS PEIXES'!$S$16:$S$65)</f>
        <v>0</v>
      </c>
      <c r="F17" s="43">
        <f>SUMIF('DADOS PEIXES'!$T$16:$T$65, "Mero", 'DADOS PEIXES'!$W$16:$W$65)</f>
        <v>0</v>
      </c>
      <c r="G17" s="44">
        <f>SUM(C17:D17:E17:F17)</f>
        <v>0</v>
      </c>
      <c r="H17" s="44">
        <f>AVERAGE(C17:D17:E17:F17)</f>
        <v>0</v>
      </c>
      <c r="I17" s="298">
        <f>STDEV(C17:D17:E17:F17)</f>
        <v>0</v>
      </c>
      <c r="J17" s="45"/>
    </row>
    <row r="18" spans="1:37" ht="14" thickBot="1">
      <c r="B18" s="41" t="s">
        <v>32</v>
      </c>
      <c r="C18" s="42">
        <f>SUMIF('DADOS PEIXES'!$F$16:$F$65, "Moréias", 'DADOS PEIXES'!$I$16:$I$65)</f>
        <v>0</v>
      </c>
      <c r="D18" s="42">
        <f>SUMIF('DADOS PEIXES'!$J$16:$J$65, "Moréias", 'DADOS PEIXES'!$M$16:$M$65)</f>
        <v>0</v>
      </c>
      <c r="E18" s="42">
        <f>SUMIF('DADOS PEIXES'!$P$16:$P$65, "Moréias", 'DADOS PEIXES'!$S$16:$S$65)</f>
        <v>0</v>
      </c>
      <c r="F18" s="43">
        <f>SUMIF('DADOS PEIXES'!$T$16:$T$65, "Moréias", 'DADOS PEIXES'!$W$16:$W$65)</f>
        <v>0</v>
      </c>
      <c r="G18" s="44">
        <f>SUM(C18:D18:E18:F18)</f>
        <v>0</v>
      </c>
      <c r="H18" s="44">
        <f>AVERAGE(C18:D18:E18:F18)</f>
        <v>0</v>
      </c>
      <c r="I18" s="298">
        <f>STDEV(C18:D18:E18:F18)</f>
        <v>0</v>
      </c>
      <c r="J18" s="45"/>
    </row>
    <row r="19" spans="1:37" ht="14" thickBot="1">
      <c r="B19" s="41" t="s">
        <v>33</v>
      </c>
      <c r="C19" s="42">
        <f>SUMIF('DADOS PEIXES'!$F$16:$F$65, "Ornamentais", 'DADOS PEIXES'!$I$16:$I$65)</f>
        <v>0</v>
      </c>
      <c r="D19" s="42">
        <f>SUMIF('DADOS PEIXES'!$J$16:$J$65, "Ornamentais", 'DADOS PEIXES'!$M$16:$M$65)</f>
        <v>11</v>
      </c>
      <c r="E19" s="42">
        <f>SUMIF('DADOS PEIXES'!$P$16:$P$65, "Ornamentais", 'DADOS PEIXES'!$S$16:$S$65)</f>
        <v>6</v>
      </c>
      <c r="F19" s="43">
        <f>SUMIF('DADOS PEIXES'!$T$16:$T$65, "Ornamentais", 'DADOS PEIXES'!$W$16:$W$65)</f>
        <v>7</v>
      </c>
      <c r="G19" s="44">
        <f>SUM(C19:D19:E19:F19)</f>
        <v>24</v>
      </c>
      <c r="H19" s="44">
        <f>AVERAGE(C19:D19:E19:F19)</f>
        <v>6</v>
      </c>
      <c r="I19" s="298">
        <f>STDEV(C19:D19:E19:F19)</f>
        <v>4.5460605656619517</v>
      </c>
      <c r="J19" s="45"/>
    </row>
    <row r="20" spans="1:37" ht="14" thickBot="1">
      <c r="B20" s="41" t="s">
        <v>367</v>
      </c>
      <c r="C20" s="42">
        <f>SUMIF('DADOS PEIXES'!$F$16:$F$65, "Bobós, papagaios &gt; 20 cm", 'DADOS PEIXES'!$I$16:$I$65)</f>
        <v>0</v>
      </c>
      <c r="D20" s="42">
        <f>SUMIF('DADOS PEIXES'!$J$16:$J$65, "Bobós, papagaios &gt; 20 cm", 'DADOS PEIXES'!$M$16:$M$65)</f>
        <v>0</v>
      </c>
      <c r="E20" s="42">
        <f>SUMIF('DADOS PEIXES'!$P$16:$P$65, "Bobós, papagaios &gt; 20 cm", 'DADOS PEIXES'!$S$16:$S$65)</f>
        <v>0</v>
      </c>
      <c r="F20" s="43">
        <f>SUMIF('DADOS PEIXES'!$T$16:$T$65, "Bobós, papagaios &gt; 20 cm", 'DADOS PEIXES'!$W$16:$W$65)</f>
        <v>0</v>
      </c>
      <c r="G20" s="44">
        <f>SUM(C20:D20:E20:F20)</f>
        <v>0</v>
      </c>
      <c r="H20" s="44">
        <f>AVERAGE(C20:D20:E20:F20)</f>
        <v>0</v>
      </c>
      <c r="I20" s="298">
        <f>STDEV(C20:D20:E20:F20)</f>
        <v>0</v>
      </c>
      <c r="J20" s="45"/>
    </row>
    <row r="21" spans="1:37" ht="14" thickBot="1">
      <c r="B21" s="41" t="s">
        <v>368</v>
      </c>
      <c r="C21" s="42">
        <f>SUMIF('DADOS PEIXES'!$F$16:$F$65, "Bobós, papagaios ≤ 20 cm", 'DADOS PEIXES'!$I$16:$I$65)</f>
        <v>0</v>
      </c>
      <c r="D21" s="42">
        <f>SUMIF('DADOS PEIXES'!$J$16:$J$65, "Bobós, papagaios ≤ 20 cm", 'DADOS PEIXES'!$M$16:$M$65)</f>
        <v>8</v>
      </c>
      <c r="E21" s="42">
        <f>SUMIF('DADOS PEIXES'!$P$16:$P$65, "Bobós, papagaios ≤ 20 cm", 'DADOS PEIXES'!$S$16:$S$65)</f>
        <v>0</v>
      </c>
      <c r="F21" s="43">
        <f>SUMIF('DADOS PEIXES'!$T$16:$T$65, "Bobós, papagaios ≤ 20 cm", 'DADOS PEIXES'!$W$16:$W$65)</f>
        <v>0</v>
      </c>
      <c r="G21" s="44">
        <f>SUM(C21:D21:E21:F21)</f>
        <v>8</v>
      </c>
      <c r="H21" s="44">
        <f>AVERAGE(C21:D21:E21:F21)</f>
        <v>2</v>
      </c>
      <c r="I21" s="298">
        <f>STDEV(C21:D21:E21:F21)</f>
        <v>4</v>
      </c>
      <c r="J21" s="45"/>
    </row>
    <row r="22" spans="1:37" s="314" customFormat="1" ht="14" thickBot="1">
      <c r="A22" s="313"/>
      <c r="B22" s="41" t="s">
        <v>66</v>
      </c>
      <c r="C22" s="42">
        <f>SUMIF('DADOS PEIXES'!$F$16:$F$65, "Raias", 'DADOS PEIXES'!$I$16:$I$65)</f>
        <v>0</v>
      </c>
      <c r="D22" s="42">
        <f>SUMIF('DADOS PEIXES'!$J$16:$J$65, "Raias", 'DADOS PEIXES'!$M$16:$M$65)</f>
        <v>0</v>
      </c>
      <c r="E22" s="42">
        <f>SUMIF('DADOS PEIXES'!$P$16:$P$65, "Raias", 'DADOS PEIXES'!$S$16:$S$65)</f>
        <v>0</v>
      </c>
      <c r="F22" s="43">
        <f>SUMIF('DADOS PEIXES'!$T$16:$T$65, "Raias", 'DADOS PEIXES'!$W$16:$W$65)</f>
        <v>0</v>
      </c>
      <c r="G22" s="44">
        <f>SUM(C22:D22:E22:F22)</f>
        <v>0</v>
      </c>
      <c r="H22" s="44">
        <f>AVERAGE(C22:D22:E22:F22)</f>
        <v>0</v>
      </c>
      <c r="I22" s="298">
        <f>STDEV(C22:D22:E22:F22)</f>
        <v>0</v>
      </c>
      <c r="J22" s="45"/>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row>
    <row r="23" spans="1:37" s="314" customFormat="1" ht="14" thickBot="1">
      <c r="A23" s="313"/>
      <c r="B23" s="41" t="s">
        <v>67</v>
      </c>
      <c r="C23" s="42">
        <f>SUMIF('DADOS PEIXES'!$F$16:$F$65, "Tubarões", 'DADOS PEIXES'!$I$16:$I$65)</f>
        <v>0</v>
      </c>
      <c r="D23" s="42">
        <f>SUMIF('DADOS PEIXES'!$J$16:$J$65, "Tubarões", 'DADOS PEIXES'!$M$16:$M$65)</f>
        <v>1</v>
      </c>
      <c r="E23" s="42">
        <f>SUMIF('DADOS PEIXES'!$P$16:$P$65, "Tubarões", 'DADOS PEIXES'!$S$16:$S$65)</f>
        <v>0</v>
      </c>
      <c r="F23" s="43">
        <f>SUMIF('DADOS PEIXES'!$T$16:$T$65, "Tubarões", 'DADOS PEIXES'!$W$16:$W$65)</f>
        <v>0</v>
      </c>
      <c r="G23" s="44">
        <f>SUM(C23:D23:E23:F23)</f>
        <v>1</v>
      </c>
      <c r="H23" s="44">
        <f>AVERAGE(C23:D23:E23:F23)</f>
        <v>0.25</v>
      </c>
      <c r="I23" s="298">
        <f>STDEV(C23:D23:E23:F23)</f>
        <v>0.5</v>
      </c>
      <c r="J23" s="45"/>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row>
    <row r="24" spans="1:37" ht="14" thickBot="1">
      <c r="B24" s="41" t="s">
        <v>371</v>
      </c>
      <c r="C24" s="42">
        <f>SUMIF('DADOS PEIXES'!$F$16:$F$65, "Vermelhos", 'DADOS PEIXES'!$I$16:$I$65)</f>
        <v>0</v>
      </c>
      <c r="D24" s="42">
        <f>SUMIF('DADOS PEIXES'!$J$16:$J$65, "Vermelhos", 'DADOS PEIXES'!$M$16:$M$65)</f>
        <v>2</v>
      </c>
      <c r="E24" s="42">
        <f>SUMIF('DADOS PEIXES'!$P$16:$P$65, "Vermelhos", 'DADOS PEIXES'!$S$16:$S$65)</f>
        <v>0</v>
      </c>
      <c r="F24" s="43">
        <f>SUMIF('DADOS PEIXES'!$T$16:$T$65, "Vermelhos", 'DADOS PEIXES'!$W$16:$W$65)</f>
        <v>4</v>
      </c>
      <c r="G24" s="44">
        <f>SUM(C24:D24:E24:F24)</f>
        <v>6</v>
      </c>
      <c r="H24" s="44">
        <f>AVERAGE(C24:D24:E24:F24)</f>
        <v>1.5</v>
      </c>
      <c r="I24" s="298">
        <f>STDEV(C24:D24:E24:F24)</f>
        <v>1.9148542155126762</v>
      </c>
      <c r="J24" s="45"/>
    </row>
    <row r="25" spans="1:37" ht="14" thickBot="1">
      <c r="B25" s="41" t="s">
        <v>35</v>
      </c>
      <c r="C25" s="42">
        <f>SUMIF('DADOS PEIXES'!$F$16:$F$65, "Xiras &gt; 10 cm", 'DADOS PEIXES'!$I$16:$I$65)</f>
        <v>0</v>
      </c>
      <c r="D25" s="42">
        <f>SUMIF('DADOS PEIXES'!$J$16:$J$65, "Xiras &gt; 10 cm", 'DADOS PEIXES'!$M$16:$M$65)</f>
        <v>0</v>
      </c>
      <c r="E25" s="42">
        <f>SUMIF('DADOS PEIXES'!$P$16:$P$65, "Xiras &gt; 10 cm", 'DADOS PEIXES'!$S$16:$S$65)</f>
        <v>0</v>
      </c>
      <c r="F25" s="43">
        <f>SUMIF('DADOS PEIXES'!$T$16:$T$65, "Xiras &gt; 10 cm", 'DADOS PEIXES'!$W$16:$W$65)</f>
        <v>0</v>
      </c>
      <c r="G25" s="44">
        <f>SUM(C25:D25:E25:F25)</f>
        <v>0</v>
      </c>
      <c r="H25" s="44">
        <f>AVERAGE(C25:D25:E25:F25)</f>
        <v>0</v>
      </c>
      <c r="I25" s="298">
        <f>STDEV(C25:D25:E25:F25)</f>
        <v>0</v>
      </c>
      <c r="J25" s="45"/>
    </row>
    <row r="26" spans="1:37" ht="15" thickBot="1">
      <c r="B26" s="41" t="s">
        <v>36</v>
      </c>
      <c r="C26" s="46">
        <f>SUMIF('DADOS PEIXES'!$F$16:$F$65, "Xiras ≤ 10 cm", 'DADOS PEIXES'!$I$16:$I$65)</f>
        <v>14</v>
      </c>
      <c r="D26" s="47">
        <f>SUMIF('DADOS PEIXES'!$J$16:$J$65, "Xiras ≤ 10 cm", 'DADOS PEIXES'!$M$16:$M$65)</f>
        <v>36</v>
      </c>
      <c r="E26" s="47">
        <f>SUMIF('DADOS PEIXES'!$P$16:$P$65, "Xiras ≤ 10 cm", 'DADOS PEIXES'!$S$16:$S$65)</f>
        <v>60</v>
      </c>
      <c r="F26" s="46">
        <f>SUMIF('DADOS PEIXES'!$T$16:$T$65, "Xiras ≤ 10 cm", 'DADOS PEIXES'!$W$16:$W$65)</f>
        <v>0</v>
      </c>
      <c r="G26" s="44">
        <f>SUM(C26:D26:E26:F26)</f>
        <v>110</v>
      </c>
      <c r="H26" s="44">
        <f>AVERAGE(C26:D26:E26:F26)</f>
        <v>27.5</v>
      </c>
      <c r="I26" s="298">
        <f>STDEV(C26:D26:E26:F26)</f>
        <v>26.248809496813376</v>
      </c>
      <c r="J26" s="45"/>
    </row>
    <row r="27" spans="1:37" ht="14" thickBot="1">
      <c r="B27" s="48"/>
      <c r="C27" s="28"/>
      <c r="D27" s="28"/>
      <c r="E27" s="28"/>
      <c r="F27" s="28"/>
      <c r="G27" s="28"/>
      <c r="H27" s="28"/>
      <c r="I27" s="28"/>
      <c r="J27" s="24"/>
    </row>
    <row r="28" spans="1:37" ht="13" thickBot="1">
      <c r="B28" s="49" t="s">
        <v>37</v>
      </c>
      <c r="C28" s="36" t="s">
        <v>21</v>
      </c>
      <c r="D28" s="37" t="s">
        <v>22</v>
      </c>
      <c r="E28" s="38" t="s">
        <v>23</v>
      </c>
      <c r="F28" s="37" t="s">
        <v>24</v>
      </c>
      <c r="G28" s="39" t="s">
        <v>25</v>
      </c>
      <c r="H28" s="39" t="s">
        <v>26</v>
      </c>
      <c r="I28" s="39" t="s">
        <v>27</v>
      </c>
      <c r="J28" s="50"/>
    </row>
    <row r="29" spans="1:37" ht="13" thickBot="1">
      <c r="B29" s="26" t="s">
        <v>38</v>
      </c>
      <c r="C29" s="42">
        <f>SUMIFS('DADOS PEIXES'!$I$16:$I$65, 'DADOS PEIXES'!$F$16:$F$65, "Mero",  'DADOS PEIXES'!$H$16:$H$65, "&gt;=20", 'DADOS PEIXES'!$H$16:$H$65, "&lt;30" )</f>
        <v>0</v>
      </c>
      <c r="D29" s="42">
        <f>SUMIFS('DADOS PEIXES'!$M$16:$M$65, 'DADOS PEIXES'!$J$16:$J$65, "Mero",  'DADOS PEIXES'!$L$16:$L$65, "&gt;=20", 'DADOS PEIXES'!$L$16:$L$65, "&lt;30" )</f>
        <v>0</v>
      </c>
      <c r="E29" s="42">
        <f>SUMIFS('DADOS PEIXES'!$S$16:$S$65, 'DADOS PEIXES'!$P$16:$P$65, "Mero",  'DADOS PEIXES'!$R$16:$R$65, "&gt;20", 'DADOS PEIXES'!$R$16:$R$65, "&lt;30" )</f>
        <v>0</v>
      </c>
      <c r="F29" s="43">
        <f>SUMIFS('DADOS PEIXES'!$W$16:$W$65, 'DADOS PEIXES'!$T$16:$T$65, "Mero",  'DADOS PEIXES'!$V$16:$V$65, "&gt;=20", 'DADOS PEIXES'!$V$16:$V$65, "&lt;30" )</f>
        <v>0</v>
      </c>
      <c r="G29" s="44">
        <f>SUM(C29:D29:E29:F29)</f>
        <v>0</v>
      </c>
      <c r="H29" s="44">
        <f>AVERAGE(C29:D29:E29:F29)</f>
        <v>0</v>
      </c>
      <c r="I29" s="44">
        <f>STDEV(C29:D29:E29:F29)</f>
        <v>0</v>
      </c>
      <c r="J29" s="50"/>
    </row>
    <row r="30" spans="1:37" ht="13" thickBot="1">
      <c r="B30" s="26" t="s">
        <v>39</v>
      </c>
      <c r="C30" s="42">
        <f>SUMIFS('DADOS PEIXES'!$I$16:$I$65, 'DADOS PEIXES'!$F$16:$F$65, "Mero",  'DADOS PEIXES'!$H$16:$H$65, "&gt;=30", 'DADOS PEIXES'!$H$16:$H$65, "&lt;40" )</f>
        <v>0</v>
      </c>
      <c r="D30" s="42">
        <f>SUMIFS('DADOS PEIXES'!$M$16:$M$65, 'DADOS PEIXES'!$J$16:$J$65, "Mero",  'DADOS PEIXES'!$L$16:$L$65, "&gt;=30", 'DADOS PEIXES'!$L$16:$L$65, "&lt;40" )</f>
        <v>0</v>
      </c>
      <c r="E30" s="42">
        <f>SUMIFS('DADOS PEIXES'!$S$16:$S$65, 'DADOS PEIXES'!$P$16:$P$65, "Mero",  'DADOS PEIXES'!$R$16:$R$65, "&gt;=30", 'DADOS PEIXES'!$R$16:$R$65, "&lt;40" )</f>
        <v>0</v>
      </c>
      <c r="F30" s="43">
        <f>SUMIFS('DADOS PEIXES'!$W$16:$W$65, 'DADOS PEIXES'!$T$16:$T$65, "Mero",  'DADOS PEIXES'!$V$16:$V$65, "&gt;=30", 'DADOS PEIXES'!$V$16:$V$65, "&lt;40" )</f>
        <v>0</v>
      </c>
      <c r="G30" s="44">
        <f>SUM(C30:D30:E30:F30)</f>
        <v>0</v>
      </c>
      <c r="H30" s="44">
        <f>AVERAGE(C30:D30:E30:F30)</f>
        <v>0</v>
      </c>
      <c r="I30" s="44">
        <f>STDEV(C30:D30:E30:F30)</f>
        <v>0</v>
      </c>
      <c r="J30" s="50"/>
    </row>
    <row r="31" spans="1:37" ht="13" thickBot="1">
      <c r="B31" s="26" t="s">
        <v>40</v>
      </c>
      <c r="C31" s="42">
        <f>SUMIFS('DADOS PEIXES'!$I$16:$I$65, 'DADOS PEIXES'!$F$16:$F$65, "Mero",  'DADOS PEIXES'!$H$16:$H$65, "&gt;=40", 'DADOS PEIXES'!$H$16:$H$65, "&lt;50" )</f>
        <v>0</v>
      </c>
      <c r="D31" s="42">
        <f>SUMIFS('DADOS PEIXES'!$M$16:$M$65, 'DADOS PEIXES'!$J$16:$J$65, "Mero",  'DADOS PEIXES'!$L$16:$L$65, "&gt;=40", 'DADOS PEIXES'!$L$16:$L$65, "&lt;50" )</f>
        <v>0</v>
      </c>
      <c r="E31" s="42">
        <f>SUMIFS('DADOS PEIXES'!$S$16:$S$65, 'DADOS PEIXES'!$P$16:$P$65, "Mero",  'DADOS PEIXES'!$R$16:$R$65, "&gt;=40", 'DADOS PEIXES'!$R$16:$R$65, "&lt;50" )</f>
        <v>0</v>
      </c>
      <c r="F31" s="43">
        <f>SUMIFS('DADOS PEIXES'!$W$16:$W$65, 'DADOS PEIXES'!$T$16:$T$65, "Mero",  'DADOS PEIXES'!$V$16:$V$65, "&gt;=40", 'DADOS PEIXES'!$V$16:$V$65, "&lt;50" )</f>
        <v>0</v>
      </c>
      <c r="G31" s="44">
        <f>SUM(C31:D31:E31:F31)</f>
        <v>0</v>
      </c>
      <c r="H31" s="44">
        <f>AVERAGE(C31:D31:E31:F31)</f>
        <v>0</v>
      </c>
      <c r="I31" s="44">
        <f>STDEV(C31:D31:E31:F31)</f>
        <v>0</v>
      </c>
      <c r="J31" s="50"/>
    </row>
    <row r="32" spans="1:37" ht="13" thickBot="1">
      <c r="B32" s="26" t="s">
        <v>41</v>
      </c>
      <c r="C32" s="42">
        <f>SUMIFS('DADOS PEIXES'!$I$16:$I$65, 'DADOS PEIXES'!$F$16:$F$65, "Mero",  'DADOS PEIXES'!$H$16:$H$65, "&gt;=50", 'DADOS PEIXES'!$H$16:$H$65, "&lt;60" )</f>
        <v>0</v>
      </c>
      <c r="D32" s="42">
        <f>SUMIFS('DADOS PEIXES'!$M$16:$M$65, 'DADOS PEIXES'!$J$16:$J$65, "Mero",  'DADOS PEIXES'!$L$16:$L$65, "&gt;=50", 'DADOS PEIXES'!$L$16:$L$65, "&lt;60" )</f>
        <v>0</v>
      </c>
      <c r="E32" s="42">
        <f>SUMIFS('DADOS PEIXES'!$S$16:$S$65, 'DADOS PEIXES'!$P$16:$P$65, "Mero",  'DADOS PEIXES'!$R$16:$R$65, "&gt;=50", 'DADOS PEIXES'!$R$16:$R$65, "&lt;60" )</f>
        <v>0</v>
      </c>
      <c r="F32" s="43">
        <f>SUMIFS('DADOS PEIXES'!$W$16:$W$65, 'DADOS PEIXES'!$T$16:$T$65, "Mero",  'DADOS PEIXES'!$V$16:$V$65, "&gt;=50", 'DADOS PEIXES'!$V$16:$V$65, "&lt;60" )</f>
        <v>0</v>
      </c>
      <c r="G32" s="44">
        <f>SUM(C32:D32:E32:F32)</f>
        <v>0</v>
      </c>
      <c r="H32" s="44">
        <f>AVERAGE(C32:D32:E32:F32)</f>
        <v>0</v>
      </c>
      <c r="I32" s="44">
        <f>STDEV(C32:D32:E32:F32)</f>
        <v>0</v>
      </c>
      <c r="J32" s="50"/>
    </row>
    <row r="33" spans="2:10" ht="13" thickBot="1">
      <c r="B33" s="26" t="s">
        <v>42</v>
      </c>
      <c r="C33" s="46">
        <f>SUMIFS('DADOS PEIXES'!$I$16:$I$65, 'DADOS PEIXES'!$F$16:$F$65, "Mero",  'DADOS PEIXES'!$H$16:$H$65, "&gt;=60")</f>
        <v>0</v>
      </c>
      <c r="D33" s="47">
        <f>SUMIFS('DADOS PEIXES'!$M$16:$M$65, 'DADOS PEIXES'!$J$16:$J$65, "Mero",  'DADOS PEIXES'!$L$16:$L$65, "&gt;=60")</f>
        <v>0</v>
      </c>
      <c r="E33" s="47">
        <f>SUMIFS('DADOS PEIXES'!$S$16:$S$65, 'DADOS PEIXES'!$P$16:$P$65, "Mero",  'DADOS PEIXES'!$R$16:$R$65, "&gt;60")</f>
        <v>0</v>
      </c>
      <c r="F33" s="46">
        <f>SUMIFS('DADOS PEIXES'!$W$16:$W$65, 'DADOS PEIXES'!$T$16:$T$65, "Mero",  'DADOS PEIXES'!$V$16:$V$65, "&gt;60")</f>
        <v>0</v>
      </c>
      <c r="G33" s="44">
        <f>SUM(C33:D33:E33:F33)</f>
        <v>0</v>
      </c>
      <c r="H33" s="44">
        <f>AVERAGE(C33:D33:E33:F33)</f>
        <v>0</v>
      </c>
      <c r="I33" s="44">
        <f>STDEV(C33:D33:E33:F33)</f>
        <v>0</v>
      </c>
      <c r="J33" s="50"/>
    </row>
    <row r="34" spans="2:10">
      <c r="B34" s="26" t="s">
        <v>364</v>
      </c>
      <c r="C34" s="39">
        <f>SUM(C29:C33)</f>
        <v>0</v>
      </c>
      <c r="D34" s="39">
        <f>SUM(D29:D33)</f>
        <v>0</v>
      </c>
      <c r="E34" s="39">
        <f>SUM(E29:E33)</f>
        <v>0</v>
      </c>
      <c r="F34" s="39">
        <f>SUM(F29:F33)</f>
        <v>0</v>
      </c>
      <c r="G34" s="44">
        <f>SUM(G29:G33)</f>
        <v>0</v>
      </c>
      <c r="H34" s="44">
        <f>AVERAGE(C34:D34:E34:F34)</f>
        <v>0</v>
      </c>
      <c r="I34" s="298">
        <f>STDEV(C34:D34:E34:F34)</f>
        <v>0</v>
      </c>
      <c r="J34" s="51"/>
    </row>
    <row r="35" spans="2:10" ht="13" thickBot="1">
      <c r="B35" s="49"/>
      <c r="C35" s="44"/>
      <c r="D35" s="44"/>
      <c r="E35" s="44"/>
      <c r="F35" s="44"/>
      <c r="G35" s="44"/>
      <c r="H35" s="44"/>
      <c r="I35" s="44"/>
      <c r="J35" s="52"/>
    </row>
    <row r="36" spans="2:10" ht="13" thickBot="1">
      <c r="B36" s="49" t="s">
        <v>362</v>
      </c>
      <c r="C36" s="36" t="s">
        <v>21</v>
      </c>
      <c r="D36" s="37" t="s">
        <v>22</v>
      </c>
      <c r="E36" s="38" t="s">
        <v>23</v>
      </c>
      <c r="F36" s="37" t="s">
        <v>24</v>
      </c>
      <c r="G36" s="39" t="s">
        <v>25</v>
      </c>
      <c r="H36" s="39" t="s">
        <v>26</v>
      </c>
      <c r="I36" s="39" t="s">
        <v>27</v>
      </c>
      <c r="J36" s="51"/>
    </row>
    <row r="37" spans="2:10" ht="13" thickBot="1">
      <c r="B37" s="26" t="s">
        <v>392</v>
      </c>
      <c r="C37" s="42">
        <f>SUMIFS('DADOS PEIXES'!$I$16:$I$65, 'DADOS PEIXES'!$F$16:$F$65, "Garoupas &gt; 30cm",  'DADOS PEIXES'!$H$16:$H$65, "&gt;=30", 'DADOS PEIXES'!$H$16:$H$65, "&lt;40" )</f>
        <v>0</v>
      </c>
      <c r="D37" s="42">
        <f>SUMIFS('DADOS PEIXES'!$M$16:$M$65, 'DADOS PEIXES'!$J$16:$J$65, "Garoupas &gt; 30cm",  'DADOS PEIXES'!$L$16:$L$65, "&gt;=30", 'DADOS PEIXES'!$L$16:$L$65, "&lt;40" )</f>
        <v>0</v>
      </c>
      <c r="E37" s="42">
        <f>SUMIFS('DADOS PEIXES'!$S$16:$S$65, 'DADOS PEIXES'!$P$16:$P$65, "Garoupas &gt; 30cm",  'DADOS PEIXES'!$R$16:$R$65, "&gt;=30", 'DADOS PEIXES'!$R$16:$R$65, "&lt;40" )</f>
        <v>0</v>
      </c>
      <c r="F37" s="43">
        <f>SUMIFS('DADOS PEIXES'!$W$16:$W$65, 'DADOS PEIXES'!$T$16:$T$65, "Garoupas &gt; 30cm",  'DADOS PEIXES'!$V$16:$V$65, "&gt;=30", 'DADOS PEIXES'!$V$16:$V$65, "&lt;40" )</f>
        <v>0</v>
      </c>
      <c r="G37" s="49">
        <f>SUM(C37:D37:E37:F37)</f>
        <v>0</v>
      </c>
      <c r="H37" s="44">
        <f>AVERAGE(C37:D37:E37:F37)</f>
        <v>0</v>
      </c>
      <c r="I37" s="44">
        <f>STDEV(C37:D37:E37:F37)</f>
        <v>0</v>
      </c>
      <c r="J37" s="51"/>
    </row>
    <row r="38" spans="2:10" ht="13" thickBot="1">
      <c r="B38" s="26" t="s">
        <v>393</v>
      </c>
      <c r="C38" s="42">
        <f>SUMIFS('DADOS PEIXES'!$I$16:$I$65, 'DADOS PEIXES'!$F$16:$F$65, "Garoupas &gt; 30cm",  'DADOS PEIXES'!$H$16:$H$65, "&gt;=40", 'DADOS PEIXES'!$H$16:$H$65, "&lt;50" )</f>
        <v>0</v>
      </c>
      <c r="D38" s="42">
        <f>SUMIFS('DADOS PEIXES'!$M$16:$M$65, 'DADOS PEIXES'!$J$16:$J$65, "Garoupas &gt; 30cm",  'DADOS PEIXES'!$L$16:$L$65, "&gt;=40", 'DADOS PEIXES'!$L$16:$L$65, "&lt;50" )</f>
        <v>0</v>
      </c>
      <c r="E38" s="42">
        <f>SUMIFS('DADOS PEIXES'!$S$16:$S$65, 'DADOS PEIXES'!$P$16:$P$65, "Garoupas &gt; 30cm",  'DADOS PEIXES'!$R$16:$R$65, "&gt;=40", 'DADOS PEIXES'!$R$16:$R$65, "&lt;50" )</f>
        <v>0</v>
      </c>
      <c r="F38" s="43">
        <f>SUMIFS('DADOS PEIXES'!$W$16:$W$65, 'DADOS PEIXES'!$T$16:$T$65, "Garoupas &gt; 30cm",  'DADOS PEIXES'!$V$16:$V$65, "&gt;=40", 'DADOS PEIXES'!$V$16:$V$65, "&lt;50" )</f>
        <v>0</v>
      </c>
      <c r="G38" s="49">
        <f>SUM(C38:D38:E38:F38)</f>
        <v>0</v>
      </c>
      <c r="H38" s="44">
        <f>AVERAGE(C38:D38:E38:F38)</f>
        <v>0</v>
      </c>
      <c r="I38" s="44">
        <f>STDEV(C38:D38:E38:F38)</f>
        <v>0</v>
      </c>
      <c r="J38" s="51"/>
    </row>
    <row r="39" spans="2:10" ht="13" thickBot="1">
      <c r="B39" s="26" t="s">
        <v>394</v>
      </c>
      <c r="C39" s="42">
        <f>SUMIFS('DADOS PEIXES'!$I$16:$I$65, 'DADOS PEIXES'!$F$16:$F$65, "Garoupas &gt; 30cm",  'DADOS PEIXES'!$H$16:$H$65, "&gt;=50", 'DADOS PEIXES'!$H$16:$H$65, "&lt;60" )</f>
        <v>0</v>
      </c>
      <c r="D39" s="42">
        <f>SUMIFS('DADOS PEIXES'!$M$16:$M$65, 'DADOS PEIXES'!$J$16:$J$65, "Garoupas &gt; 30cm",  'DADOS PEIXES'!$L$16:$L$65, "&gt;=50", 'DADOS PEIXES'!$L$16:$L$65, "&lt;60" )</f>
        <v>0</v>
      </c>
      <c r="E39" s="42">
        <f>SUMIFS('DADOS PEIXES'!$S$16:$S$65, 'DADOS PEIXES'!$P$16:$P$65, "Garoupas &gt; 30cm",  'DADOS PEIXES'!$R$16:$R$65, "&gt;=50", 'DADOS PEIXES'!$R$16:$R$65, "&lt;60" )</f>
        <v>0</v>
      </c>
      <c r="F39" s="43">
        <f>SUMIFS('DADOS PEIXES'!$W$16:$W$65, 'DADOS PEIXES'!$T$16:$T$65, "Garoupas &gt; 30cm",  'DADOS PEIXES'!$V$16:$V$65, "&gt;=50", 'DADOS PEIXES'!$V$16:$V$65, "&lt;60" )</f>
        <v>0</v>
      </c>
      <c r="G39" s="44">
        <f>SUM(C39:D39:E39:F39)</f>
        <v>0</v>
      </c>
      <c r="H39" s="44">
        <f>AVERAGE(C39:D39:E39:F39)</f>
        <v>0</v>
      </c>
      <c r="I39" s="44">
        <f>STDEV(C39:D39:E39:F39)</f>
        <v>0</v>
      </c>
      <c r="J39" s="51"/>
    </row>
    <row r="40" spans="2:10" ht="13" thickBot="1">
      <c r="B40" s="26" t="s">
        <v>395</v>
      </c>
      <c r="C40" s="46">
        <f>SUMIFS('DADOS PEIXES'!$I$16:$I$65, 'DADOS PEIXES'!$F$16:$F$65, "Garoupas &gt; 30cm",  'DADOS PEIXES'!$H$16:$H$65, "&gt;=60")</f>
        <v>0</v>
      </c>
      <c r="D40" s="47">
        <f>SUMIFS('DADOS PEIXES'!$M$16:$M$65, 'DADOS PEIXES'!$J$16:$J$65, "Garoupas &gt; 30cm",  'DADOS PEIXES'!$L$16:$L$65, "&gt;=60")</f>
        <v>0</v>
      </c>
      <c r="E40" s="47">
        <f>SUMIFS('DADOS PEIXES'!$S$16:$S$65, 'DADOS PEIXES'!$P$16:$P$65, "Garoupas &gt; 30cm",  'DADOS PEIXES'!$R$16:$R$65, "&gt;60")</f>
        <v>0</v>
      </c>
      <c r="F40" s="46">
        <f>SUMIFS('DADOS PEIXES'!$W$16:$W$65, 'DADOS PEIXES'!$T$16:$T$65, "Garoupas &gt; 30cm",  'DADOS PEIXES'!$V$16:$V$65, "&gt;60")</f>
        <v>0</v>
      </c>
      <c r="G40" s="49">
        <f>SUM(C40:D40:E40:F40)</f>
        <v>0</v>
      </c>
      <c r="H40" s="44">
        <f>AVERAGE(C40:D40:E40:F40)</f>
        <v>0</v>
      </c>
      <c r="I40" s="44">
        <f>STDEV(C40:D40:E40:F40)</f>
        <v>0</v>
      </c>
      <c r="J40" s="51"/>
    </row>
    <row r="41" spans="2:10" ht="13">
      <c r="B41" s="26" t="s">
        <v>363</v>
      </c>
      <c r="C41" s="39">
        <f>SUM(C37:C40)</f>
        <v>0</v>
      </c>
      <c r="D41" s="39">
        <f>SUM(D37:D40)</f>
        <v>0</v>
      </c>
      <c r="E41" s="39">
        <f>SUM(E37:E40)</f>
        <v>0</v>
      </c>
      <c r="F41" s="39">
        <f>SUM(F37:F40)</f>
        <v>0</v>
      </c>
      <c r="G41" s="44">
        <f>SUM(G37:G40)</f>
        <v>0</v>
      </c>
      <c r="H41" s="44">
        <f>AVERAGE(C41:D41:E41:F41)</f>
        <v>0</v>
      </c>
      <c r="I41" s="298">
        <f>STDEV(C41:D41:E41:F41)</f>
        <v>0</v>
      </c>
      <c r="J41" s="24"/>
    </row>
    <row r="42" spans="2:10" ht="14" thickBot="1">
      <c r="B42" s="53"/>
      <c r="C42" s="34"/>
      <c r="D42" s="34"/>
      <c r="E42" s="34"/>
      <c r="F42" s="34"/>
      <c r="G42" s="34"/>
      <c r="H42" s="34"/>
      <c r="I42" s="34"/>
      <c r="J42" s="54"/>
    </row>
    <row r="43" spans="2:10" ht="3.75" customHeight="1" thickBot="1">
      <c r="B43" s="55"/>
      <c r="C43" s="56"/>
      <c r="D43" s="56"/>
      <c r="E43" s="56"/>
      <c r="F43" s="56"/>
      <c r="G43" s="56"/>
      <c r="H43" s="56"/>
      <c r="I43" s="56"/>
      <c r="J43" s="57"/>
    </row>
    <row r="44" spans="2:10" ht="14" thickBot="1">
      <c r="B44" s="58" t="s">
        <v>19</v>
      </c>
      <c r="C44" s="333" t="s">
        <v>443</v>
      </c>
      <c r="D44" s="334"/>
      <c r="E44" s="334"/>
      <c r="F44" s="334"/>
      <c r="G44" s="334"/>
      <c r="H44" s="334"/>
      <c r="I44" s="335"/>
      <c r="J44" s="59"/>
    </row>
    <row r="45" spans="2:10" ht="3" customHeight="1" thickBot="1">
      <c r="B45" s="60"/>
      <c r="C45" s="61"/>
      <c r="D45" s="61"/>
      <c r="E45" s="61"/>
      <c r="F45" s="61"/>
      <c r="G45" s="61"/>
      <c r="H45" s="61"/>
      <c r="I45" s="61"/>
      <c r="J45" s="59"/>
    </row>
    <row r="46" spans="2:10" ht="18" thickBot="1">
      <c r="B46" s="62" t="s">
        <v>43</v>
      </c>
      <c r="C46" s="63" t="s">
        <v>21</v>
      </c>
      <c r="D46" s="64" t="s">
        <v>22</v>
      </c>
      <c r="E46" s="65" t="s">
        <v>23</v>
      </c>
      <c r="F46" s="64" t="s">
        <v>24</v>
      </c>
      <c r="G46" s="66" t="s">
        <v>25</v>
      </c>
      <c r="H46" s="66" t="s">
        <v>26</v>
      </c>
      <c r="I46" s="66" t="s">
        <v>27</v>
      </c>
      <c r="J46" s="59"/>
    </row>
    <row r="47" spans="2:10" ht="14" thickBot="1">
      <c r="B47" s="67" t="s">
        <v>44</v>
      </c>
      <c r="C47" s="42">
        <f>IF('DADOS INVERTEBRADOS'!G24 = "", "", 'DADOS INVERTEBRADOS'!G24)</f>
        <v>0</v>
      </c>
      <c r="D47" s="42">
        <f>IF('DADOS INVERTEBRADOS'!J24 = "", "", 'DADOS INVERTEBRADOS'!J24)</f>
        <v>1</v>
      </c>
      <c r="E47" s="42">
        <f>IF('DADOS INVERTEBRADOS'!M24 = "", "", 'DADOS INVERTEBRADOS'!M24)</f>
        <v>0</v>
      </c>
      <c r="F47" s="43">
        <f>IF('DADOS INVERTEBRADOS'!P24 = "", "", 'DADOS INVERTEBRADOS'!P24)</f>
        <v>1</v>
      </c>
      <c r="G47" s="68">
        <f>SUM(C47:D47:E47:F47)</f>
        <v>2</v>
      </c>
      <c r="H47" s="68">
        <f>AVERAGE(C47:D47:E47:F47)</f>
        <v>0.5</v>
      </c>
      <c r="I47" s="297">
        <f>STDEV(C47:D47:E47:F47)</f>
        <v>0.57735026918962573</v>
      </c>
      <c r="J47" s="59"/>
    </row>
    <row r="48" spans="2:10" ht="14" thickBot="1">
      <c r="B48" s="69" t="s">
        <v>388</v>
      </c>
      <c r="C48" s="42">
        <f>IF('DADOS INVERTEBRADOS'!G25 = "", "", 'DADOS INVERTEBRADOS'!G25)</f>
        <v>1</v>
      </c>
      <c r="D48" s="42">
        <f>IF('DADOS INVERTEBRADOS'!J25 = "", "", 'DADOS INVERTEBRADOS'!J25)</f>
        <v>0</v>
      </c>
      <c r="E48" s="42">
        <f>IF('DADOS INVERTEBRADOS'!M25 = "", "", 'DADOS INVERTEBRADOS'!M25)</f>
        <v>0</v>
      </c>
      <c r="F48" s="43">
        <f>IF('DADOS INVERTEBRADOS'!P25 = "", "", 'DADOS INVERTEBRADOS'!P25)</f>
        <v>0</v>
      </c>
      <c r="G48" s="68">
        <f>SUM(C48:D48:E48:F48)</f>
        <v>1</v>
      </c>
      <c r="H48" s="68">
        <f>AVERAGE(C48:D48:E48:F48)</f>
        <v>0.25</v>
      </c>
      <c r="I48" s="297">
        <f>STDEV(C48:D48:E48:F48)</f>
        <v>0.5</v>
      </c>
      <c r="J48" s="59"/>
    </row>
    <row r="49" spans="2:10" ht="14" thickBot="1">
      <c r="B49" s="69" t="s">
        <v>277</v>
      </c>
      <c r="C49" s="42">
        <f>IF('DADOS INVERTEBRADOS'!G26 ="","",'DADOS INVERTEBRADOS'!G26)</f>
        <v>0</v>
      </c>
      <c r="D49" s="42">
        <f>IF('DADOS INVERTEBRADOS'!J26 ="","",'DADOS INVERTEBRADOS'!J26)</f>
        <v>0</v>
      </c>
      <c r="E49" s="42">
        <f>IF('DADOS INVERTEBRADOS'!M26 ="","",'DADOS INVERTEBRADOS'!M26)</f>
        <v>0</v>
      </c>
      <c r="F49" s="43">
        <f>IF('DADOS INVERTEBRADOS'!P26 ="","",'DADOS INVERTEBRADOS'!P26)</f>
        <v>0</v>
      </c>
      <c r="G49" s="68">
        <f>SUM(C49:D49:E49:F49)</f>
        <v>0</v>
      </c>
      <c r="H49" s="68">
        <f>AVERAGE(C49:D49:E49:F49)</f>
        <v>0</v>
      </c>
      <c r="I49" s="297">
        <f>STDEV(C49:D49:E49:F49)</f>
        <v>0</v>
      </c>
      <c r="J49" s="59"/>
    </row>
    <row r="50" spans="2:10" ht="14" thickBot="1">
      <c r="B50" s="69" t="s">
        <v>45</v>
      </c>
      <c r="C50" s="42">
        <f>IF('DADOS INVERTEBRADOS'!G28 = "", "", 'DADOS INVERTEBRADOS'!G28)</f>
        <v>0</v>
      </c>
      <c r="D50" s="42">
        <f>IF('DADOS INVERTEBRADOS'!J28 = "", "", 'DADOS INVERTEBRADOS'!J28)</f>
        <v>0</v>
      </c>
      <c r="E50" s="42">
        <f>IF('DADOS INVERTEBRADOS'!M28 = "", "", 'DADOS INVERTEBRADOS'!M28)</f>
        <v>0</v>
      </c>
      <c r="F50" s="43">
        <f>IF('DADOS INVERTEBRADOS'!P28 = "", "", 'DADOS INVERTEBRADOS'!P28)</f>
        <v>1</v>
      </c>
      <c r="G50" s="68">
        <f>SUM(C50:D50:E50:F50)</f>
        <v>1</v>
      </c>
      <c r="H50" s="68">
        <f>AVERAGE(C50:D50:E50:F50)</f>
        <v>0.25</v>
      </c>
      <c r="I50" s="297">
        <f>STDEV(C50:D50:E50:F50)</f>
        <v>0.5</v>
      </c>
      <c r="J50" s="59"/>
    </row>
    <row r="51" spans="2:10" ht="14" thickBot="1">
      <c r="B51" s="69" t="s">
        <v>46</v>
      </c>
      <c r="C51" s="42">
        <f>IF('DADOS INVERTEBRADOS'!G29 = "", "", 'DADOS INVERTEBRADOS'!G29)</f>
        <v>80</v>
      </c>
      <c r="D51" s="42">
        <f>IF('DADOS INVERTEBRADOS'!J29 = "", "", 'DADOS INVERTEBRADOS'!J29)</f>
        <v>46</v>
      </c>
      <c r="E51" s="42">
        <f>IF('DADOS INVERTEBRADOS'!M29 = "", "", 'DADOS INVERTEBRADOS'!M29)</f>
        <v>112</v>
      </c>
      <c r="F51" s="43">
        <f>IF('DADOS INVERTEBRADOS'!P29 = "", "", 'DADOS INVERTEBRADOS'!P29)</f>
        <v>75</v>
      </c>
      <c r="G51" s="68">
        <f>SUM(C51:D51:E51:F51)</f>
        <v>313</v>
      </c>
      <c r="H51" s="68">
        <f>AVERAGE(C51:D51:E51:F51)</f>
        <v>78.25</v>
      </c>
      <c r="I51" s="297">
        <f>STDEV(C51:D51:E51:F51)</f>
        <v>27.035470527931757</v>
      </c>
      <c r="J51" s="59"/>
    </row>
    <row r="52" spans="2:10" ht="14" thickBot="1">
      <c r="B52" s="67" t="s">
        <v>47</v>
      </c>
      <c r="C52" s="42">
        <f>IF('DADOS INVERTEBRADOS'!G30 ="","",'DADOS INVERTEBRADOS'!G30)</f>
        <v>1</v>
      </c>
      <c r="D52" s="42">
        <f>IF('DADOS INVERTEBRADOS'!J30 ="","",'DADOS INVERTEBRADOS'!J30)</f>
        <v>0</v>
      </c>
      <c r="E52" s="42">
        <f>IF('DADOS INVERTEBRADOS'!M30 ="","",'DADOS INVERTEBRADOS'!M30)</f>
        <v>0</v>
      </c>
      <c r="F52" s="43">
        <f>IF('DADOS INVERTEBRADOS'!P30 ="","",'DADOS INVERTEBRADOS'!P30)</f>
        <v>0</v>
      </c>
      <c r="G52" s="68">
        <f>SUM(C52:D52:E52:F52)</f>
        <v>1</v>
      </c>
      <c r="H52" s="68">
        <f>AVERAGE(C52:D52:E52:F52)</f>
        <v>0.25</v>
      </c>
      <c r="I52" s="297">
        <f>STDEV(C52:D52:E52:F52)</f>
        <v>0.5</v>
      </c>
      <c r="J52" s="59"/>
    </row>
    <row r="53" spans="2:10" ht="18" customHeight="1" thickBot="1">
      <c r="B53" s="70" t="s">
        <v>48</v>
      </c>
      <c r="C53" s="42">
        <f>IF('DADOS INVERTEBRADOS'!G31 = "", "", 'DADOS INVERTEBRADOS'!G31)</f>
        <v>0</v>
      </c>
      <c r="D53" s="42">
        <f>IF('DADOS INVERTEBRADOS'!J31 = "", "", 'DADOS INVERTEBRADOS'!J31)</f>
        <v>0</v>
      </c>
      <c r="E53" s="42">
        <f>IF('DADOS INVERTEBRADOS'!M31 = "", "", 'DADOS INVERTEBRADOS'!M31)</f>
        <v>0</v>
      </c>
      <c r="F53" s="43">
        <f>IF('DADOS INVERTEBRADOS'!P31 = "", "", 'DADOS INVERTEBRADOS'!P31)</f>
        <v>0</v>
      </c>
      <c r="G53" s="68">
        <f>SUM(C53:D53:E53:F53)</f>
        <v>0</v>
      </c>
      <c r="H53" s="68">
        <f>AVERAGE(C53:D53:E53:F53)</f>
        <v>0</v>
      </c>
      <c r="I53" s="297">
        <f>STDEV(C53:D53:E53:F53)</f>
        <v>0</v>
      </c>
      <c r="J53" s="59"/>
    </row>
    <row r="54" spans="2:10" ht="14" thickBot="1">
      <c r="B54" s="67" t="s">
        <v>49</v>
      </c>
      <c r="C54" s="42">
        <f>IF('DADOS INVERTEBRADOS'!G32 = "", "", 'DADOS INVERTEBRADOS'!G32)</f>
        <v>15</v>
      </c>
      <c r="D54" s="42">
        <f>IF('DADOS INVERTEBRADOS'!J32 = "", "", 'DADOS INVERTEBRADOS'!J32)</f>
        <v>7</v>
      </c>
      <c r="E54" s="42">
        <f>IF('DADOS INVERTEBRADOS'!M32 = "", "", 'DADOS INVERTEBRADOS'!M32)</f>
        <v>15</v>
      </c>
      <c r="F54" s="43">
        <f>IF('DADOS INVERTEBRADOS'!P32 = "", "", 'DADOS INVERTEBRADOS'!P32)</f>
        <v>13</v>
      </c>
      <c r="G54" s="68">
        <f>SUM(C54:D54:E54:F54)</f>
        <v>50</v>
      </c>
      <c r="H54" s="68">
        <f>AVERAGE(C54:D54:E54:F54)</f>
        <v>12.5</v>
      </c>
      <c r="I54" s="297">
        <f>STDEV(C54:D54:E54:F54)</f>
        <v>3.7859388972001824</v>
      </c>
      <c r="J54" s="59"/>
    </row>
    <row r="55" spans="2:10" ht="14" thickBot="1">
      <c r="B55" s="67" t="s">
        <v>50</v>
      </c>
      <c r="C55" s="42">
        <f>IF('DADOS INVERTEBRADOS'!G33 = "", "", 'DADOS INVERTEBRADOS'!G33)</f>
        <v>0</v>
      </c>
      <c r="D55" s="42">
        <f>IF('DADOS INVERTEBRADOS'!J33 = "", "", 'DADOS INVERTEBRADOS'!J33)</f>
        <v>0</v>
      </c>
      <c r="E55" s="42">
        <f>IF('DADOS INVERTEBRADOS'!M33 = "", "", 'DADOS INVERTEBRADOS'!M33)</f>
        <v>0</v>
      </c>
      <c r="F55" s="43">
        <f>IF('DADOS INVERTEBRADOS'!P33 = "", "", 'DADOS INVERTEBRADOS'!P33)</f>
        <v>0</v>
      </c>
      <c r="G55" s="68">
        <f>SUM(C55:D55:E55:F55)</f>
        <v>0</v>
      </c>
      <c r="H55" s="68">
        <f>AVERAGE(C55:D55:E55:F55)</f>
        <v>0</v>
      </c>
      <c r="I55" s="297">
        <f>STDEV(C55:D55:E55:F55)</f>
        <v>0</v>
      </c>
      <c r="J55" s="59"/>
    </row>
    <row r="56" spans="2:10" ht="15.75" customHeight="1" thickBot="1">
      <c r="B56" s="67" t="s">
        <v>51</v>
      </c>
      <c r="C56" s="42">
        <f>IF('DADOS INVERTEBRADOS'!G34 ="","",'DADOS INVERTEBRADOS'!G34)</f>
        <v>0</v>
      </c>
      <c r="D56" s="42">
        <f>IF('DADOS INVERTEBRADOS'!J34 ="","",'DADOS INVERTEBRADOS'!J34)</f>
        <v>0</v>
      </c>
      <c r="E56" s="42">
        <f>IF('DADOS INVERTEBRADOS'!M34 ="","",'DADOS INVERTEBRADOS'!M34)</f>
        <v>0</v>
      </c>
      <c r="F56" s="43">
        <f>IF('DADOS INVERTEBRADOS'!P34 ="","",'DADOS INVERTEBRADOS'!P34)</f>
        <v>0</v>
      </c>
      <c r="G56" s="68">
        <f>SUM(C56:D56:E56:F56)</f>
        <v>0</v>
      </c>
      <c r="H56" s="68">
        <f>AVERAGE(C56:D56:E56:F56)</f>
        <v>0</v>
      </c>
      <c r="I56" s="297">
        <f>STDEV(C56:D56:E56:F56)</f>
        <v>0</v>
      </c>
      <c r="J56" s="59"/>
    </row>
    <row r="57" spans="2:10" ht="14" thickBot="1">
      <c r="B57" s="71" t="s">
        <v>278</v>
      </c>
      <c r="C57" s="42">
        <f>IF('DADOS INVERTEBRADOS'!G36 = "", "", 'DADOS INVERTEBRADOS'!G36)</f>
        <v>0</v>
      </c>
      <c r="D57" s="42">
        <f>IF('DADOS INVERTEBRADOS'!J36 = "", "", 'DADOS INVERTEBRADOS'!J36)</f>
        <v>0</v>
      </c>
      <c r="E57" s="42">
        <f>IF('DADOS INVERTEBRADOS'!M36 = "", "", 'DADOS INVERTEBRADOS'!M36)</f>
        <v>0</v>
      </c>
      <c r="F57" s="43">
        <f>IF('DADOS INVERTEBRADOS'!P36 = "", "", 'DADOS INVERTEBRADOS'!P36)</f>
        <v>0</v>
      </c>
      <c r="G57" s="68">
        <f>SUM(C57:D57:E57:F57)</f>
        <v>0</v>
      </c>
      <c r="H57" s="68">
        <f>AVERAGE(C57:D57:E57:F57)</f>
        <v>0</v>
      </c>
      <c r="I57" s="297">
        <f>STDEV(C57:D57:E57:F57)</f>
        <v>0</v>
      </c>
      <c r="J57" s="59"/>
    </row>
    <row r="58" spans="2:10" ht="14" thickBot="1">
      <c r="B58" s="71" t="s">
        <v>53</v>
      </c>
      <c r="C58" s="47">
        <f>IF('DADOS INVERTEBRADOS'!G37= "","",'DADOS INVERTEBRADOS'!G37)</f>
        <v>0</v>
      </c>
      <c r="D58" s="47">
        <f>IF('DADOS INVERTEBRADOS'!J37= "","",'DADOS INVERTEBRADOS'!J37)</f>
        <v>0</v>
      </c>
      <c r="E58" s="47">
        <f>IF('DADOS INVERTEBRADOS'!M37= "","",'DADOS INVERTEBRADOS'!M37)</f>
        <v>1</v>
      </c>
      <c r="F58" s="46">
        <f>IF('DADOS INVERTEBRADOS'!P37= "","",'DADOS INVERTEBRADOS'!P37)</f>
        <v>0</v>
      </c>
      <c r="G58" s="68">
        <f>SUM(C58:D58:E58:F58)</f>
        <v>1</v>
      </c>
      <c r="H58" s="68">
        <f>AVERAGE(C58:D58:E58:F58)</f>
        <v>0.25</v>
      </c>
      <c r="I58" s="297">
        <f>STDEV(C58:D58:E58:F58)</f>
        <v>0.5</v>
      </c>
      <c r="J58" s="59"/>
    </row>
    <row r="59" spans="2:10" ht="13">
      <c r="B59" s="60"/>
      <c r="C59" s="61"/>
      <c r="D59" s="61"/>
      <c r="E59" s="61"/>
      <c r="F59" s="61"/>
      <c r="G59" s="61"/>
      <c r="H59" s="61"/>
      <c r="I59" s="61"/>
      <c r="J59" s="59"/>
    </row>
    <row r="60" spans="2:10" ht="18" customHeight="1">
      <c r="B60" s="336" t="s">
        <v>401</v>
      </c>
      <c r="C60" s="337"/>
      <c r="D60" s="337"/>
      <c r="E60" s="337"/>
      <c r="F60" s="337"/>
      <c r="G60" s="337"/>
      <c r="H60" s="337"/>
      <c r="I60" s="337"/>
      <c r="J60" s="59"/>
    </row>
    <row r="61" spans="2:10" ht="6.75" customHeight="1" thickBot="1">
      <c r="B61" s="338"/>
      <c r="C61" s="339"/>
      <c r="D61" s="339"/>
      <c r="E61" s="339"/>
      <c r="F61" s="339"/>
      <c r="G61" s="339"/>
      <c r="H61" s="339"/>
      <c r="I61" s="339"/>
      <c r="J61" s="59"/>
    </row>
    <row r="62" spans="2:10" ht="18.75" customHeight="1" thickBot="1">
      <c r="B62" s="73"/>
      <c r="C62" s="63" t="s">
        <v>21</v>
      </c>
      <c r="D62" s="64" t="s">
        <v>22</v>
      </c>
      <c r="E62" s="65" t="s">
        <v>23</v>
      </c>
      <c r="F62" s="64" t="s">
        <v>24</v>
      </c>
      <c r="G62" s="68"/>
      <c r="H62" s="68"/>
      <c r="I62" s="68"/>
      <c r="J62" s="74"/>
    </row>
    <row r="63" spans="2:10" ht="14" thickBot="1">
      <c r="B63" s="70" t="s">
        <v>54</v>
      </c>
      <c r="C63" s="292" t="str">
        <f>IF('DADOS INVERTEBRADOS'!G17= "", "", 'DADOS INVERTEBRADOS'!G17)</f>
        <v/>
      </c>
      <c r="D63" s="292" t="str">
        <f>IF('DADOS INVERTEBRADOS'!J17 = "", "", 'DADOS INVERTEBRADOS'!J17)</f>
        <v/>
      </c>
      <c r="E63" s="292" t="str">
        <f>IF('DADOS INVERTEBRADOS'!M17 = "", "", 'DADOS INVERTEBRADOS'!M17)</f>
        <v/>
      </c>
      <c r="F63" s="293" t="str">
        <f>IF('DADOS INVERTEBRADOS'!P17 = "", "", 'DADOS INVERTEBRADOS'!P17)</f>
        <v/>
      </c>
      <c r="G63" s="68">
        <f>SUM(C63:D63:E63:F63)</f>
        <v>0</v>
      </c>
      <c r="H63" s="68" t="e">
        <f>AVERAGE(C63:D63:E63:F63)</f>
        <v>#DIV/0!</v>
      </c>
      <c r="I63" s="297" t="e">
        <f>STDEV(C63:D63:E63:F63)</f>
        <v>#DIV/0!</v>
      </c>
      <c r="J63" s="59"/>
    </row>
    <row r="64" spans="2:10" ht="14" thickBot="1">
      <c r="B64" s="70" t="s">
        <v>402</v>
      </c>
      <c r="C64" s="292" t="str">
        <f>IF('DADOS INVERTEBRADOS'!G18= "", "", 'DADOS INVERTEBRADOS'!G18)</f>
        <v/>
      </c>
      <c r="D64" s="292" t="str">
        <f>IF('DADOS INVERTEBRADOS'!J18 = "", "", 'DADOS INVERTEBRADOS'!J18)</f>
        <v/>
      </c>
      <c r="E64" s="292" t="str">
        <f>IF('DADOS INVERTEBRADOS'!M18 = "", "", 'DADOS INVERTEBRADOS'!M18)</f>
        <v/>
      </c>
      <c r="F64" s="293" t="str">
        <f>IF('DADOS INVERTEBRADOS'!P18 = "", "", 'DADOS INVERTEBRADOS'!P18)</f>
        <v/>
      </c>
      <c r="G64" s="68">
        <f>SUM(C64:D64:E64:F64)</f>
        <v>0</v>
      </c>
      <c r="H64" s="68" t="e">
        <f>AVERAGE(C64:D64:E64:F64)</f>
        <v>#DIV/0!</v>
      </c>
      <c r="I64" s="297" t="e">
        <f>STDEV(C64:D64:E64:F64)</f>
        <v>#DIV/0!</v>
      </c>
      <c r="J64" s="59"/>
    </row>
    <row r="65" spans="2:10" ht="14" thickBot="1">
      <c r="B65" s="70" t="s">
        <v>55</v>
      </c>
      <c r="C65" s="292" t="str">
        <f>IF('DADOS INVERTEBRADOS'!G19= "", "", 'DADOS INVERTEBRADOS'!G19)</f>
        <v/>
      </c>
      <c r="D65" s="292" t="str">
        <f>IF('DADOS INVERTEBRADOS'!J19 = "", "", 'DADOS INVERTEBRADOS'!J19)</f>
        <v/>
      </c>
      <c r="E65" s="292" t="str">
        <f>IF('DADOS INVERTEBRADOS'!M19 = "", "", 'DADOS INVERTEBRADOS'!M19)</f>
        <v/>
      </c>
      <c r="F65" s="293" t="str">
        <f>IF('DADOS INVERTEBRADOS'!P19 = "", "", 'DADOS INVERTEBRADOS'!P19)</f>
        <v/>
      </c>
      <c r="G65" s="70">
        <f>SUM(C65:D65:E65:F65)</f>
        <v>0</v>
      </c>
      <c r="H65" s="68" t="e">
        <f>AVERAGE(C65:D65:E65:F65)</f>
        <v>#DIV/0!</v>
      </c>
      <c r="I65" s="297" t="e">
        <f>STDEV(C65:D65:E65:F65)</f>
        <v>#DIV/0!</v>
      </c>
      <c r="J65" s="59"/>
    </row>
    <row r="66" spans="2:10" ht="14" thickBot="1">
      <c r="B66" s="70" t="s">
        <v>56</v>
      </c>
      <c r="C66" s="292">
        <f>IF('DADOS INVERTEBRADOS'!G20= "", "", 'DADOS INVERTEBRADOS'!G20)</f>
        <v>1</v>
      </c>
      <c r="D66" s="292" t="str">
        <f>IF('DADOS INVERTEBRADOS'!J20 = "", "", 'DADOS INVERTEBRADOS'!J20)</f>
        <v/>
      </c>
      <c r="E66" s="292" t="str">
        <f>IF('DADOS INVERTEBRADOS'!M20 = "", "", 'DADOS INVERTEBRADOS'!M20)</f>
        <v/>
      </c>
      <c r="F66" s="293" t="str">
        <f>IF('DADOS INVERTEBRADOS'!P20 = "", "", 'DADOS INVERTEBRADOS'!P20)</f>
        <v/>
      </c>
      <c r="G66" s="70">
        <f>SUM(C66:D66:E66:F66)</f>
        <v>1</v>
      </c>
      <c r="H66" s="68">
        <f>AVERAGE(C66:D66:E66:F66)</f>
        <v>1</v>
      </c>
      <c r="I66" s="297" t="e">
        <f>STDEV(C66:D66:E66:F66)</f>
        <v>#DIV/0!</v>
      </c>
      <c r="J66" s="59"/>
    </row>
    <row r="67" spans="2:10" ht="14" thickBot="1">
      <c r="B67" s="70" t="s">
        <v>346</v>
      </c>
      <c r="C67" s="292" t="str">
        <f>IF('DADOS INVERTEBRADOS'!G21= "", "", 'DADOS INVERTEBRADOS'!G21)</f>
        <v/>
      </c>
      <c r="D67" s="292" t="str">
        <f>IF('DADOS INVERTEBRADOS'!J21 = "", "", 'DADOS INVERTEBRADOS'!J21)</f>
        <v/>
      </c>
      <c r="E67" s="292" t="str">
        <f>IF('DADOS INVERTEBRADOS'!M21 = "", "", 'DADOS INVERTEBRADOS'!M21)</f>
        <v/>
      </c>
      <c r="F67" s="293" t="str">
        <f>IF('DADOS INVERTEBRADOS'!P21 = "", "", 'DADOS INVERTEBRADOS'!P21)</f>
        <v/>
      </c>
      <c r="G67" s="70">
        <f>SUM(C67:D67:E67:F67)</f>
        <v>0</v>
      </c>
      <c r="H67" s="68" t="e">
        <f>AVERAGE(C67:D67:E67:F67)</f>
        <v>#DIV/0!</v>
      </c>
      <c r="I67" s="297" t="e">
        <f>STDEV(C67:D67:E67:F67)</f>
        <v>#DIV/0!</v>
      </c>
      <c r="J67" s="59"/>
    </row>
    <row r="68" spans="2:10" ht="14" thickBot="1">
      <c r="B68" s="70" t="s">
        <v>57</v>
      </c>
      <c r="C68" s="292" t="str">
        <f>IF('DADOS INVERTEBRADOS'!G22= "", "", 'DADOS INVERTEBRADOS'!G22)</f>
        <v/>
      </c>
      <c r="D68" s="292" t="str">
        <f>IF('DADOS INVERTEBRADOS'!J22 = "", "", 'DADOS INVERTEBRADOS'!J22)</f>
        <v/>
      </c>
      <c r="E68" s="292" t="str">
        <f>IF('DADOS INVERTEBRADOS'!M22 = "", "", 'DADOS INVERTEBRADOS'!M22)</f>
        <v/>
      </c>
      <c r="F68" s="293" t="str">
        <f>IF('DADOS INVERTEBRADOS'!P22 = "", "", 'DADOS INVERTEBRADOS'!P22)</f>
        <v/>
      </c>
      <c r="G68" s="70">
        <f>SUM(C68:D68:E68:F68)</f>
        <v>0</v>
      </c>
      <c r="H68" s="68" t="e">
        <f>AVERAGE(C68:D68:E68:F68)</f>
        <v>#DIV/0!</v>
      </c>
      <c r="I68" s="297" t="e">
        <f>STDEV(C68:D68:E68:F68)</f>
        <v>#DIV/0!</v>
      </c>
      <c r="J68" s="59"/>
    </row>
    <row r="69" spans="2:10" ht="14" thickBot="1">
      <c r="B69" s="70" t="s">
        <v>58</v>
      </c>
      <c r="C69" s="292" t="str">
        <f>IF('DADOS INVERTEBRADOS'!G13 = "", "", 'DADOS INVERTEBRADOS'!G13)</f>
        <v/>
      </c>
      <c r="D69" s="292" t="str">
        <f>IF('DADOS INVERTEBRADOS'!J13 = "", "", 'DADOS INVERTEBRADOS'!J13)</f>
        <v/>
      </c>
      <c r="E69" s="292" t="str">
        <f>IF('DADOS INVERTEBRADOS'!M13 = "", "", 'DADOS INVERTEBRADOS'!M13)</f>
        <v/>
      </c>
      <c r="F69" s="293" t="str">
        <f>IF('DADOS INVERTEBRADOS'!P13 = "", "", 'DADOS INVERTEBRADOS'!P13)</f>
        <v/>
      </c>
      <c r="G69" s="70">
        <f>SUM(C69:D69:E69:F69)</f>
        <v>0</v>
      </c>
      <c r="H69" s="68" t="e">
        <f>AVERAGE(C69:D69:E69:F69)</f>
        <v>#DIV/0!</v>
      </c>
      <c r="I69" s="297" t="e">
        <f>STDEV(C69:D69:E69:F69)</f>
        <v>#DIV/0!</v>
      </c>
      <c r="J69" s="59"/>
    </row>
    <row r="70" spans="2:10" ht="14" thickBot="1">
      <c r="B70" s="70" t="s">
        <v>59</v>
      </c>
      <c r="C70" s="292" t="str">
        <f>IF('DADOS INVERTEBRADOS'!G14 = "", "", 'DADOS INVERTEBRADOS'!G14)</f>
        <v/>
      </c>
      <c r="D70" s="292" t="str">
        <f>IF('DADOS INVERTEBRADOS'!J14 = "", "", 'DADOS INVERTEBRADOS'!J14)</f>
        <v/>
      </c>
      <c r="E70" s="292" t="str">
        <f>IF('DADOS INVERTEBRADOS'!M14 = "", "", 'DADOS INVERTEBRADOS'!M14)</f>
        <v/>
      </c>
      <c r="F70" s="293" t="str">
        <f>IF('DADOS INVERTEBRADOS'!P14 = "", "", 'DADOS INVERTEBRADOS'!P14)</f>
        <v/>
      </c>
      <c r="G70" s="70">
        <f>SUM(C70:D70:E70:F70)</f>
        <v>0</v>
      </c>
      <c r="H70" s="68" t="e">
        <f>AVERAGE(C70:D70:E70:F70)</f>
        <v>#DIV/0!</v>
      </c>
      <c r="I70" s="297" t="e">
        <f>STDEV(C70:D70:E70:F70)</f>
        <v>#DIV/0!</v>
      </c>
      <c r="J70" s="59"/>
    </row>
    <row r="71" spans="2:10" ht="14" thickBot="1">
      <c r="B71" s="70" t="s">
        <v>60</v>
      </c>
      <c r="C71" s="292" t="str">
        <f>IF('DADOS INVERTEBRADOS'!G15 = "", "", 'DADOS INVERTEBRADOS'!G15)</f>
        <v/>
      </c>
      <c r="D71" s="292" t="str">
        <f>IF('DADOS INVERTEBRADOS'!J15 = "", "", 'DADOS INVERTEBRADOS'!J15)</f>
        <v/>
      </c>
      <c r="E71" s="292" t="str">
        <f>IF('DADOS INVERTEBRADOS'!M15 = "", "", 'DADOS INVERTEBRADOS'!M15)</f>
        <v/>
      </c>
      <c r="F71" s="293" t="str">
        <f>IF('DADOS INVERTEBRADOS'!P15 = "", "", 'DADOS INVERTEBRADOS'!P15)</f>
        <v/>
      </c>
      <c r="G71" s="70">
        <f>SUM(C71:D71:E71:F71)</f>
        <v>0</v>
      </c>
      <c r="H71" s="68" t="e">
        <f>AVERAGE(C71:D71:E71:F71)</f>
        <v>#DIV/0!</v>
      </c>
      <c r="I71" s="297" t="e">
        <f>STDEV(C71:D71:E71:F71)</f>
        <v>#DIV/0!</v>
      </c>
      <c r="J71" s="59"/>
    </row>
    <row r="72" spans="2:10" ht="15" customHeight="1" thickBot="1">
      <c r="B72" s="75" t="s">
        <v>400</v>
      </c>
      <c r="C72" s="76"/>
      <c r="D72" s="76"/>
      <c r="E72" s="61"/>
      <c r="F72" s="61"/>
      <c r="G72" s="68"/>
      <c r="H72" s="68"/>
      <c r="I72" s="68"/>
      <c r="J72" s="59"/>
    </row>
    <row r="73" spans="2:10" ht="14" thickBot="1">
      <c r="B73" s="77" t="s">
        <v>379</v>
      </c>
      <c r="C73" s="292" t="str">
        <f>IF('DADOS INVERTEBRADOS'!G16 = "", "", 'DADOS INVERTEBRADOS'!G16)</f>
        <v/>
      </c>
      <c r="D73" s="292" t="str">
        <f>IF('DADOS INVERTEBRADOS'!J16 = "", "", 'DADOS INVERTEBRADOS'!J16)</f>
        <v/>
      </c>
      <c r="E73" s="292" t="str">
        <f>IF('DADOS INVERTEBRADOS'!M16 = "", "", 'DADOS INVERTEBRADOS'!M16)</f>
        <v/>
      </c>
      <c r="F73" s="293" t="str">
        <f>IF('DADOS INVERTEBRADOS'!P16 = "", "", 'DADOS INVERTEBRADOS'!P16)</f>
        <v/>
      </c>
      <c r="G73" s="70">
        <f>SUM(C73:D73:E73:F73)</f>
        <v>0</v>
      </c>
      <c r="H73" s="78" t="e">
        <f>AVERAGE(C73:D73:E73:F73)</f>
        <v>#DIV/0!</v>
      </c>
      <c r="I73" s="297" t="e">
        <f>STDEV(C73:D73:E73:F73)</f>
        <v>#DIV/0!</v>
      </c>
      <c r="J73" s="59"/>
    </row>
    <row r="74" spans="2:10" ht="14" thickBot="1">
      <c r="B74" s="79" t="s">
        <v>61</v>
      </c>
      <c r="C74" s="72"/>
      <c r="D74" s="72"/>
      <c r="E74" s="72"/>
      <c r="F74" s="72"/>
      <c r="G74" s="70">
        <f>SUM(C74:D74:E74:F74)</f>
        <v>0</v>
      </c>
      <c r="H74" s="68" t="e">
        <f>AVERAGE(C74:D74:E74:F74)</f>
        <v>#DIV/0!</v>
      </c>
      <c r="I74" s="297" t="e">
        <f>STDEV(C74:D74:E74:F74)</f>
        <v>#DIV/0!</v>
      </c>
      <c r="J74" s="59"/>
    </row>
    <row r="75" spans="2:10" ht="14" thickBot="1">
      <c r="B75" s="79" t="s">
        <v>62</v>
      </c>
      <c r="C75" s="72"/>
      <c r="D75" s="72"/>
      <c r="E75" s="72"/>
      <c r="F75" s="72"/>
      <c r="G75" s="70">
        <f>SUM(C75:D75:E75:F75)</f>
        <v>0</v>
      </c>
      <c r="H75" s="68" t="e">
        <f>AVERAGE(C75:D75:E75:F75)</f>
        <v>#DIV/0!</v>
      </c>
      <c r="I75" s="297" t="e">
        <f>STDEV(C75:D75:E75:F75)</f>
        <v>#DIV/0!</v>
      </c>
      <c r="J75" s="59"/>
    </row>
    <row r="76" spans="2:10" ht="15" customHeight="1" thickBot="1">
      <c r="B76" s="79" t="s">
        <v>63</v>
      </c>
      <c r="C76" s="72"/>
      <c r="D76" s="72"/>
      <c r="E76" s="72"/>
      <c r="F76" s="72"/>
      <c r="G76" s="70">
        <f>SUM(C76:D76:E76:F76)</f>
        <v>0</v>
      </c>
      <c r="H76" s="68" t="e">
        <f>AVERAGE(C76:D76:E76:F76)</f>
        <v>#DIV/0!</v>
      </c>
      <c r="I76" s="297" t="e">
        <f>STDEV(C76:D76:E76:F76)</f>
        <v>#DIV/0!</v>
      </c>
      <c r="J76" s="59"/>
    </row>
    <row r="77" spans="2:10" ht="15.75" customHeight="1" thickBot="1">
      <c r="B77" s="79" t="s">
        <v>64</v>
      </c>
      <c r="C77" s="72"/>
      <c r="D77" s="72"/>
      <c r="E77" s="72"/>
      <c r="F77" s="72"/>
      <c r="G77" s="70">
        <f>SUM(C77:D77:E77:F77)</f>
        <v>0</v>
      </c>
      <c r="H77" s="68" t="e">
        <f>AVERAGE(C77:D77:E77:F77)</f>
        <v>#DIV/0!</v>
      </c>
      <c r="I77" s="297" t="e">
        <f>STDEV(C77:D77:E77:F77)</f>
        <v>#DIV/0!</v>
      </c>
      <c r="J77" s="59"/>
    </row>
    <row r="78" spans="2:10" ht="13" thickBot="1">
      <c r="B78" s="80"/>
      <c r="C78" s="81"/>
      <c r="D78" s="81"/>
      <c r="E78" s="81"/>
      <c r="F78" s="81"/>
      <c r="G78" s="68"/>
      <c r="H78" s="68"/>
      <c r="I78" s="68"/>
      <c r="J78" s="82"/>
    </row>
    <row r="79" spans="2:10" ht="14" thickBot="1">
      <c r="B79" s="70" t="s">
        <v>65</v>
      </c>
      <c r="C79" s="63" t="s">
        <v>21</v>
      </c>
      <c r="D79" s="64" t="s">
        <v>22</v>
      </c>
      <c r="E79" s="65" t="s">
        <v>23</v>
      </c>
      <c r="F79" s="64" t="s">
        <v>24</v>
      </c>
      <c r="G79" s="68"/>
      <c r="H79" s="68"/>
      <c r="I79" s="68"/>
      <c r="J79" s="59"/>
    </row>
    <row r="80" spans="2:10" ht="14" thickBot="1">
      <c r="B80" s="83" t="s">
        <v>66</v>
      </c>
      <c r="C80" s="72"/>
      <c r="D80" s="72"/>
      <c r="E80" s="72"/>
      <c r="F80" s="72"/>
      <c r="G80" s="68">
        <f>SUM(C80:D80:E80:F80)</f>
        <v>0</v>
      </c>
      <c r="H80" s="68" t="e">
        <f>AVERAGE(C80:D80:E80:F80)</f>
        <v>#DIV/0!</v>
      </c>
      <c r="I80" s="297" t="e">
        <f>STDEV(C80:D80:E80:F80)</f>
        <v>#DIV/0!</v>
      </c>
      <c r="J80" s="59"/>
    </row>
    <row r="81" spans="2:10" ht="14" thickBot="1">
      <c r="B81" s="83" t="s">
        <v>67</v>
      </c>
      <c r="C81" s="72"/>
      <c r="D81" s="72"/>
      <c r="E81" s="72"/>
      <c r="F81" s="72"/>
      <c r="G81" s="68">
        <f>SUM(C81:D81:E81:F81)</f>
        <v>0</v>
      </c>
      <c r="H81" s="68" t="e">
        <f>AVERAGE(C81:D81:E81:F81)</f>
        <v>#DIV/0!</v>
      </c>
      <c r="I81" s="297" t="e">
        <f>STDEV(C81:D81:E81:F81)</f>
        <v>#DIV/0!</v>
      </c>
      <c r="J81" s="59"/>
    </row>
    <row r="82" spans="2:10" ht="14" thickBot="1">
      <c r="B82" s="83" t="s">
        <v>68</v>
      </c>
      <c r="C82" s="72"/>
      <c r="D82" s="72"/>
      <c r="E82" s="72"/>
      <c r="F82" s="72"/>
      <c r="G82" s="68">
        <f>SUM(C82:D82:E82:F82)</f>
        <v>0</v>
      </c>
      <c r="H82" s="68" t="e">
        <f>AVERAGE(C82:D82:E82:F82)</f>
        <v>#DIV/0!</v>
      </c>
      <c r="I82" s="297" t="e">
        <f>STDEV(C82:D82:E82:F82)</f>
        <v>#DIV/0!</v>
      </c>
      <c r="J82" s="59"/>
    </row>
    <row r="83" spans="2:10" ht="14" thickBot="1">
      <c r="B83" s="83" t="s">
        <v>69</v>
      </c>
      <c r="C83" s="72"/>
      <c r="D83" s="72"/>
      <c r="E83" s="72"/>
      <c r="F83" s="72"/>
      <c r="G83" s="68">
        <f>SUM(C83:D83:E83:F83)</f>
        <v>0</v>
      </c>
      <c r="H83" s="68" t="e">
        <f>AVERAGE(C83:D83:E83:F83)</f>
        <v>#DIV/0!</v>
      </c>
      <c r="I83" s="297" t="e">
        <f>STDEV(C83:D83:E83:F83)</f>
        <v>#DIV/0!</v>
      </c>
      <c r="J83" s="59"/>
    </row>
    <row r="84" spans="2:10" ht="13" thickBot="1">
      <c r="B84" s="84"/>
      <c r="C84" s="85"/>
      <c r="D84" s="85"/>
      <c r="E84" s="85"/>
      <c r="F84" s="85"/>
      <c r="G84" s="85"/>
      <c r="H84" s="85"/>
      <c r="I84" s="85"/>
      <c r="J84" s="86"/>
    </row>
    <row r="85" spans="2:10" ht="13" thickBot="1">
      <c r="B85" s="87" t="s">
        <v>70</v>
      </c>
      <c r="C85" s="340"/>
      <c r="D85" s="341"/>
      <c r="E85" s="341"/>
      <c r="F85" s="341"/>
      <c r="G85" s="341"/>
      <c r="H85" s="341"/>
      <c r="I85" s="342"/>
      <c r="J85" s="86"/>
    </row>
    <row r="86" spans="2:10" ht="13" thickBot="1">
      <c r="B86" s="88"/>
      <c r="C86" s="89"/>
      <c r="D86" s="89"/>
      <c r="E86" s="89"/>
      <c r="F86" s="89"/>
      <c r="G86" s="89"/>
      <c r="H86" s="89"/>
      <c r="I86" s="89"/>
      <c r="J86" s="90"/>
    </row>
    <row r="87" spans="2:10" ht="3" customHeight="1">
      <c r="B87" s="91"/>
      <c r="C87" s="91"/>
      <c r="D87" s="91"/>
      <c r="E87" s="91"/>
      <c r="F87" s="91"/>
      <c r="G87" s="91"/>
      <c r="H87" s="91"/>
      <c r="I87" s="91"/>
      <c r="J87" s="91"/>
    </row>
    <row r="88" spans="2:10">
      <c r="B88" s="343" t="s">
        <v>427</v>
      </c>
      <c r="C88" s="343"/>
      <c r="D88" s="343"/>
      <c r="E88" s="343"/>
      <c r="F88" s="343"/>
      <c r="G88" s="343"/>
      <c r="H88" s="343"/>
      <c r="I88" s="343"/>
      <c r="J88" s="343"/>
    </row>
    <row r="89" spans="2:10">
      <c r="B89" s="343"/>
      <c r="C89" s="343"/>
      <c r="D89" s="343"/>
      <c r="E89" s="343"/>
      <c r="F89" s="343"/>
      <c r="G89" s="343"/>
      <c r="H89" s="343"/>
      <c r="I89" s="343"/>
      <c r="J89" s="343"/>
    </row>
    <row r="90" spans="2:10">
      <c r="B90" s="2"/>
      <c r="C90" s="2"/>
      <c r="D90" s="2"/>
      <c r="E90" s="2"/>
      <c r="F90" s="2"/>
      <c r="G90" s="2"/>
      <c r="H90" s="2"/>
      <c r="I90" s="2"/>
    </row>
    <row r="91" spans="2:10" ht="15">
      <c r="B91" s="344"/>
      <c r="C91" s="344"/>
      <c r="D91" s="345" t="s">
        <v>71</v>
      </c>
      <c r="E91" s="345"/>
      <c r="F91" s="345"/>
      <c r="G91" s="345"/>
      <c r="H91" s="345"/>
      <c r="I91" s="345"/>
      <c r="J91" s="345"/>
    </row>
    <row r="92" spans="2:10">
      <c r="B92" s="92"/>
      <c r="C92" s="92"/>
      <c r="D92" s="2"/>
      <c r="E92" s="2"/>
      <c r="F92" s="2"/>
      <c r="G92" s="2"/>
      <c r="H92" s="2"/>
      <c r="I92" s="2"/>
      <c r="J92" s="2"/>
    </row>
    <row r="93" spans="2:10" ht="13">
      <c r="B93" s="324"/>
      <c r="C93" s="324"/>
      <c r="D93" s="324"/>
      <c r="E93" s="324"/>
      <c r="F93" s="324"/>
      <c r="G93" s="324"/>
      <c r="H93" s="324"/>
      <c r="I93" s="324"/>
      <c r="J93" s="324"/>
    </row>
    <row r="94" spans="2:10" s="2" customFormat="1"/>
    <row r="95" spans="2:10" s="2" customFormat="1"/>
    <row r="96" spans="2:10"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sheetData>
  <sheetProtection password="C446" sheet="1" objects="1" scenarios="1"/>
  <mergeCells count="18">
    <mergeCell ref="B2:D2"/>
    <mergeCell ref="E2:I2"/>
    <mergeCell ref="C3:E3"/>
    <mergeCell ref="H3:I3"/>
    <mergeCell ref="C4:E4"/>
    <mergeCell ref="H4:I4"/>
    <mergeCell ref="B93:J93"/>
    <mergeCell ref="C5:E5"/>
    <mergeCell ref="H5:I5"/>
    <mergeCell ref="B7:J7"/>
    <mergeCell ref="C9:I9"/>
    <mergeCell ref="C44:I44"/>
    <mergeCell ref="B60:I60"/>
    <mergeCell ref="B61:I61"/>
    <mergeCell ref="C85:I85"/>
    <mergeCell ref="B88:J89"/>
    <mergeCell ref="B91:C91"/>
    <mergeCell ref="D91:J91"/>
  </mergeCells>
  <printOptions horizontalCentered="1"/>
  <pageMargins left="0.31496062992125984" right="0.31496062992125984" top="0.6692913385826772" bottom="0.98425196850393704" header="0.19685039370078741" footer="0.47244094488188981"/>
  <headerFooter alignWithMargins="0">
    <oddHeader>&amp;CReef Check Brasil - peixes e invertebrados</oddHeader>
    <oddFooter>Página &amp;P de &amp;N</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417"/>
  <sheetViews>
    <sheetView tabSelected="1" topLeftCell="A81" zoomScale="90" zoomScaleNormal="90" zoomScalePageLayoutView="90" workbookViewId="0">
      <selection activeCell="Q68" sqref="Q68"/>
    </sheetView>
  </sheetViews>
  <sheetFormatPr baseColWidth="10" defaultColWidth="10.83203125" defaultRowHeight="13" x14ac:dyDescent="0"/>
  <cols>
    <col min="1" max="1" width="1.5" style="99" customWidth="1"/>
    <col min="2" max="2" width="31.5" style="153" customWidth="1"/>
    <col min="3" max="4" width="10.83203125" style="99" customWidth="1"/>
    <col min="5" max="5" width="4.5" style="103" customWidth="1"/>
    <col min="6" max="13" width="10.83203125" style="103" customWidth="1"/>
    <col min="14" max="14" width="11.5" style="103" customWidth="1"/>
    <col min="15" max="15" width="10.83203125" style="103" customWidth="1"/>
    <col min="16" max="99" width="10.83203125" style="93"/>
    <col min="100" max="16384" width="10.83203125" style="99"/>
  </cols>
  <sheetData>
    <row r="1" spans="1:99" s="96" customFormat="1" ht="14" thickBot="1">
      <c r="A1" s="93"/>
      <c r="B1" s="94"/>
      <c r="C1" s="93"/>
      <c r="D1" s="93"/>
      <c r="E1" s="93"/>
      <c r="F1" s="93"/>
      <c r="G1" s="93"/>
      <c r="H1" s="93"/>
      <c r="I1" s="93"/>
      <c r="J1" s="93"/>
      <c r="K1" s="93"/>
      <c r="L1" s="93"/>
      <c r="M1" s="93"/>
      <c r="N1" s="95"/>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row>
    <row r="2" spans="1:99" ht="30" customHeight="1" thickBot="1">
      <c r="A2" s="93"/>
      <c r="B2" s="355" t="s">
        <v>419</v>
      </c>
      <c r="C2" s="356"/>
      <c r="D2" s="356"/>
      <c r="E2" s="356"/>
      <c r="F2" s="356"/>
      <c r="G2" s="356"/>
      <c r="H2" s="356"/>
      <c r="I2" s="356"/>
      <c r="J2" s="356"/>
      <c r="K2" s="356"/>
      <c r="L2" s="356"/>
      <c r="M2" s="357"/>
      <c r="N2" s="97"/>
      <c r="O2" s="98"/>
    </row>
    <row r="3" spans="1:99" ht="9" customHeight="1">
      <c r="A3" s="93"/>
      <c r="B3" s="100"/>
      <c r="C3" s="101"/>
      <c r="D3" s="101"/>
      <c r="E3" s="93"/>
      <c r="F3" s="102"/>
      <c r="G3" s="97"/>
      <c r="H3" s="97"/>
      <c r="I3" s="97"/>
      <c r="J3" s="97"/>
      <c r="K3" s="97"/>
      <c r="L3" s="97"/>
      <c r="M3" s="97"/>
      <c r="N3" s="97"/>
      <c r="O3" s="93"/>
    </row>
    <row r="4" spans="1:99" ht="17">
      <c r="A4" s="93"/>
      <c r="B4" s="94"/>
      <c r="C4" s="93"/>
      <c r="D4" s="93"/>
      <c r="E4" s="95"/>
      <c r="F4" s="358" t="s">
        <v>72</v>
      </c>
      <c r="G4" s="359"/>
      <c r="H4" s="359"/>
      <c r="I4" s="359"/>
      <c r="J4" s="359"/>
      <c r="K4" s="359"/>
      <c r="L4" s="359"/>
      <c r="M4" s="359"/>
      <c r="N4" s="359"/>
      <c r="O4" s="95"/>
    </row>
    <row r="5" spans="1:99" ht="14.25" customHeight="1" thickBot="1">
      <c r="A5" s="93"/>
      <c r="B5" s="360" t="s">
        <v>73</v>
      </c>
      <c r="C5" s="361"/>
      <c r="D5" s="361"/>
      <c r="E5" s="95"/>
      <c r="F5" s="93"/>
      <c r="G5" s="93"/>
      <c r="H5" s="93"/>
      <c r="I5" s="93"/>
      <c r="J5" s="93"/>
      <c r="K5" s="93"/>
      <c r="L5" s="93"/>
      <c r="M5" s="93"/>
      <c r="N5" s="93"/>
      <c r="O5" s="95"/>
    </row>
    <row r="6" spans="1:99" s="103" customFormat="1" ht="14.25" customHeight="1">
      <c r="E6" s="104"/>
      <c r="F6" s="105"/>
      <c r="G6" s="106"/>
      <c r="H6" s="106"/>
      <c r="I6" s="106"/>
      <c r="J6" s="106"/>
      <c r="K6" s="106"/>
      <c r="L6" s="106"/>
      <c r="M6" s="106"/>
      <c r="N6" s="107"/>
      <c r="O6" s="104"/>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row>
    <row r="7" spans="1:99" s="103" customFormat="1" ht="14.25" customHeight="1" thickBot="1">
      <c r="D7" s="104"/>
      <c r="E7" s="108"/>
      <c r="F7" s="362"/>
      <c r="G7" s="363"/>
      <c r="H7" s="363"/>
      <c r="I7" s="363"/>
      <c r="J7" s="363"/>
      <c r="K7" s="363"/>
      <c r="L7" s="363"/>
      <c r="M7" s="363"/>
      <c r="N7" s="364"/>
      <c r="O7" s="104"/>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row>
    <row r="8" spans="1:99" s="103" customFormat="1" ht="14.25" customHeight="1" thickBot="1">
      <c r="B8" s="109" t="s">
        <v>74</v>
      </c>
      <c r="C8" s="110" t="s">
        <v>26</v>
      </c>
      <c r="D8" s="111" t="s">
        <v>75</v>
      </c>
      <c r="E8" s="108"/>
      <c r="F8" s="112"/>
      <c r="G8" s="113"/>
      <c r="H8" s="113"/>
      <c r="I8" s="113"/>
      <c r="J8" s="104"/>
      <c r="K8" s="113"/>
      <c r="L8" s="113"/>
      <c r="M8" s="113"/>
      <c r="N8" s="114"/>
      <c r="O8" s="115"/>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row>
    <row r="9" spans="1:99" s="103" customFormat="1" ht="14.25" customHeight="1">
      <c r="B9" s="116" t="s">
        <v>76</v>
      </c>
      <c r="C9" s="117">
        <f>SUMÁRIO!H12</f>
        <v>10</v>
      </c>
      <c r="D9" s="300">
        <f>SUM(SUMÁRIO!I12/SQRT(4))</f>
        <v>4.5643546458763842</v>
      </c>
      <c r="E9" s="104"/>
      <c r="F9" s="119"/>
      <c r="G9" s="104"/>
      <c r="H9" s="104"/>
      <c r="I9" s="104"/>
      <c r="J9" s="104"/>
      <c r="K9" s="104"/>
      <c r="L9" s="104"/>
      <c r="M9" s="104"/>
      <c r="N9" s="108"/>
      <c r="O9" s="104"/>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row>
    <row r="10" spans="1:99" s="103" customFormat="1" ht="14.25" customHeight="1">
      <c r="B10" s="120" t="s">
        <v>77</v>
      </c>
      <c r="C10" s="117">
        <f>SUMÁRIO!H13</f>
        <v>0</v>
      </c>
      <c r="D10" s="300">
        <f>SUM(SUMÁRIO!I13/SQRT(4))</f>
        <v>0</v>
      </c>
      <c r="E10" s="104"/>
      <c r="F10" s="119"/>
      <c r="G10" s="104"/>
      <c r="H10" s="104"/>
      <c r="I10" s="104"/>
      <c r="J10" s="104"/>
      <c r="K10" s="104"/>
      <c r="L10" s="104"/>
      <c r="M10" s="104"/>
      <c r="N10" s="108"/>
      <c r="O10" s="104"/>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row>
    <row r="11" spans="1:99" s="103" customFormat="1" ht="14.25" customHeight="1">
      <c r="B11" s="120" t="s">
        <v>78</v>
      </c>
      <c r="C11" s="117">
        <f>SUMÁRIO!H14</f>
        <v>17.5</v>
      </c>
      <c r="D11" s="300">
        <f>SUM(SUMÁRIO!I14/SQRT(4))</f>
        <v>12.479983974348684</v>
      </c>
      <c r="E11" s="104"/>
      <c r="F11" s="119"/>
      <c r="G11" s="104"/>
      <c r="H11" s="104"/>
      <c r="I11" s="104"/>
      <c r="J11" s="104"/>
      <c r="K11" s="104"/>
      <c r="L11" s="104"/>
      <c r="M11" s="104"/>
      <c r="N11" s="108"/>
      <c r="O11" s="104"/>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row>
    <row r="12" spans="1:99" s="103" customFormat="1" ht="14.25" customHeight="1">
      <c r="B12" s="120" t="s">
        <v>369</v>
      </c>
      <c r="C12" s="117">
        <f>SUMÁRIO!H15</f>
        <v>0</v>
      </c>
      <c r="D12" s="300">
        <f>SUM(SUMÁRIO!I15/SQRT(4))</f>
        <v>0</v>
      </c>
      <c r="E12" s="104"/>
      <c r="F12" s="119"/>
      <c r="G12" s="104"/>
      <c r="H12" s="104"/>
      <c r="I12" s="104"/>
      <c r="J12" s="104"/>
      <c r="K12" s="104"/>
      <c r="L12" s="104"/>
      <c r="M12" s="104"/>
      <c r="N12" s="108"/>
      <c r="O12" s="104"/>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c r="CK12" s="93"/>
      <c r="CL12" s="93"/>
      <c r="CM12" s="93"/>
      <c r="CN12" s="93"/>
      <c r="CO12" s="93"/>
      <c r="CP12" s="93"/>
      <c r="CQ12" s="93"/>
      <c r="CR12" s="93"/>
      <c r="CS12" s="93"/>
      <c r="CT12" s="93"/>
      <c r="CU12" s="93"/>
    </row>
    <row r="13" spans="1:99" s="103" customFormat="1" ht="14.25" customHeight="1">
      <c r="B13" s="120" t="s">
        <v>370</v>
      </c>
      <c r="C13" s="117">
        <f>SUMÁRIO!H16</f>
        <v>0.25</v>
      </c>
      <c r="D13" s="300">
        <f>SUM(SUMÁRIO!I16/SQRT(4))</f>
        <v>0.25</v>
      </c>
      <c r="E13" s="104"/>
      <c r="F13" s="119"/>
      <c r="G13" s="104"/>
      <c r="H13" s="104"/>
      <c r="I13" s="104"/>
      <c r="J13" s="104"/>
      <c r="K13" s="104"/>
      <c r="L13" s="104"/>
      <c r="M13" s="104"/>
      <c r="N13" s="108"/>
      <c r="O13" s="104"/>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c r="CK13" s="93"/>
      <c r="CL13" s="93"/>
      <c r="CM13" s="93"/>
      <c r="CN13" s="93"/>
      <c r="CO13" s="93"/>
      <c r="CP13" s="93"/>
      <c r="CQ13" s="93"/>
      <c r="CR13" s="93"/>
      <c r="CS13" s="93"/>
      <c r="CT13" s="93"/>
      <c r="CU13" s="93"/>
    </row>
    <row r="14" spans="1:99" s="103" customFormat="1">
      <c r="B14" s="120" t="s">
        <v>37</v>
      </c>
      <c r="C14" s="117">
        <f>SUMÁRIO!H17</f>
        <v>0</v>
      </c>
      <c r="D14" s="300">
        <f>SUM(SUMÁRIO!I17/SQRT(4))</f>
        <v>0</v>
      </c>
      <c r="E14" s="104"/>
      <c r="F14" s="119"/>
      <c r="G14" s="104"/>
      <c r="H14" s="104"/>
      <c r="I14" s="104"/>
      <c r="J14" s="104"/>
      <c r="K14" s="104"/>
      <c r="L14" s="104"/>
      <c r="M14" s="104"/>
      <c r="N14" s="108"/>
      <c r="O14" s="104"/>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row>
    <row r="15" spans="1:99" s="103" customFormat="1">
      <c r="B15" s="120" t="s">
        <v>32</v>
      </c>
      <c r="C15" s="117">
        <f>SUMÁRIO!H18</f>
        <v>0</v>
      </c>
      <c r="D15" s="300">
        <f>SUM(SUMÁRIO!I18/SQRT(4))</f>
        <v>0</v>
      </c>
      <c r="E15" s="104"/>
      <c r="F15" s="119"/>
      <c r="G15" s="104"/>
      <c r="H15" s="104"/>
      <c r="I15" s="104"/>
      <c r="J15" s="104"/>
      <c r="K15" s="104"/>
      <c r="L15" s="104"/>
      <c r="M15" s="104"/>
      <c r="N15" s="108"/>
      <c r="O15" s="104"/>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row>
    <row r="16" spans="1:99" s="103" customFormat="1" ht="14.25" customHeight="1">
      <c r="B16" s="120" t="s">
        <v>33</v>
      </c>
      <c r="C16" s="117">
        <f>SUMÁRIO!H19</f>
        <v>6</v>
      </c>
      <c r="D16" s="300">
        <f>SUM(SUMÁRIO!I19/SQRT(4))</f>
        <v>2.2730302828309759</v>
      </c>
      <c r="E16" s="104"/>
      <c r="F16" s="119"/>
      <c r="G16" s="104"/>
      <c r="H16" s="104"/>
      <c r="I16" s="104"/>
      <c r="J16" s="104"/>
      <c r="K16" s="104"/>
      <c r="L16" s="104"/>
      <c r="M16" s="104"/>
      <c r="N16" s="108"/>
      <c r="O16" s="104"/>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row>
    <row r="17" spans="2:99" s="103" customFormat="1" ht="14.25" customHeight="1">
      <c r="B17" s="120" t="s">
        <v>79</v>
      </c>
      <c r="C17" s="117">
        <f>SUMÁRIO!H20</f>
        <v>0</v>
      </c>
      <c r="D17" s="300">
        <f>SUM(SUMÁRIO!I20/SQRT(4))</f>
        <v>0</v>
      </c>
      <c r="E17" s="104"/>
      <c r="F17" s="119"/>
      <c r="G17" s="104"/>
      <c r="H17" s="104"/>
      <c r="I17" s="104"/>
      <c r="J17" s="104"/>
      <c r="K17" s="104"/>
      <c r="L17" s="104"/>
      <c r="M17" s="104"/>
      <c r="N17" s="108"/>
      <c r="O17" s="104"/>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row>
    <row r="18" spans="2:99" s="103" customFormat="1" ht="14.25" customHeight="1">
      <c r="B18" s="120" t="s">
        <v>80</v>
      </c>
      <c r="C18" s="117">
        <f>SUMÁRIO!H21</f>
        <v>2</v>
      </c>
      <c r="D18" s="300">
        <f>SUM(SUMÁRIO!I21/SQRT(4))</f>
        <v>2</v>
      </c>
      <c r="E18" s="104"/>
      <c r="F18" s="119"/>
      <c r="G18" s="104"/>
      <c r="H18" s="104"/>
      <c r="I18" s="104"/>
      <c r="J18" s="104"/>
      <c r="K18" s="104"/>
      <c r="L18" s="104"/>
      <c r="M18" s="104"/>
      <c r="N18" s="108"/>
      <c r="O18" s="104"/>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row>
    <row r="19" spans="2:99" s="103" customFormat="1">
      <c r="B19" s="41" t="s">
        <v>66</v>
      </c>
      <c r="C19" s="117">
        <f>SUMÁRIO!H22</f>
        <v>0</v>
      </c>
      <c r="D19" s="300">
        <f>SUM(SUMÁRIO!I22/SQRT(4))</f>
        <v>0</v>
      </c>
      <c r="E19" s="104"/>
      <c r="F19" s="119"/>
      <c r="G19" s="104"/>
      <c r="H19" s="104"/>
      <c r="I19" s="104"/>
      <c r="J19" s="104"/>
      <c r="K19" s="104"/>
      <c r="L19" s="104"/>
      <c r="M19" s="104"/>
      <c r="N19" s="108"/>
      <c r="O19" s="104"/>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row>
    <row r="20" spans="2:99" s="103" customFormat="1">
      <c r="B20" s="41" t="s">
        <v>67</v>
      </c>
      <c r="C20" s="117">
        <f>SUMÁRIO!H23</f>
        <v>0.25</v>
      </c>
      <c r="D20" s="300">
        <f>SUM(SUMÁRIO!I23/SQRT(4))</f>
        <v>0.25</v>
      </c>
      <c r="E20" s="121"/>
      <c r="F20" s="119"/>
      <c r="G20" s="104"/>
      <c r="H20" s="104"/>
      <c r="I20" s="104"/>
      <c r="J20" s="104"/>
      <c r="K20" s="104"/>
      <c r="L20" s="104"/>
      <c r="M20" s="104"/>
      <c r="N20" s="108"/>
      <c r="O20" s="104"/>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row>
    <row r="21" spans="2:99" s="103" customFormat="1">
      <c r="B21" s="120" t="s">
        <v>34</v>
      </c>
      <c r="C21" s="117">
        <f>SUMÁRIO!H24</f>
        <v>1.5</v>
      </c>
      <c r="D21" s="300">
        <f>SUM(SUMÁRIO!I24/SQRT(4))</f>
        <v>0.9574271077563381</v>
      </c>
      <c r="E21" s="121"/>
      <c r="F21" s="119"/>
      <c r="G21" s="104"/>
      <c r="H21" s="104"/>
      <c r="I21" s="104"/>
      <c r="J21" s="104"/>
      <c r="K21" s="104"/>
      <c r="L21" s="104"/>
      <c r="M21" s="104"/>
      <c r="N21" s="108"/>
      <c r="O21" s="104"/>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row>
    <row r="22" spans="2:99">
      <c r="B22" s="120" t="s">
        <v>81</v>
      </c>
      <c r="C22" s="117">
        <f>SUMÁRIO!H25</f>
        <v>0</v>
      </c>
      <c r="D22" s="300">
        <f>SUM(SUMÁRIO!I25/SQRT(4))</f>
        <v>0</v>
      </c>
      <c r="E22" s="108"/>
      <c r="F22" s="119"/>
      <c r="G22" s="104"/>
      <c r="H22" s="104"/>
      <c r="I22" s="104"/>
      <c r="J22" s="104"/>
      <c r="K22" s="104"/>
      <c r="L22" s="104"/>
      <c r="M22" s="104"/>
      <c r="N22" s="108"/>
    </row>
    <row r="23" spans="2:99" s="103" customFormat="1" ht="15" thickBot="1">
      <c r="B23" s="122" t="s">
        <v>82</v>
      </c>
      <c r="C23" s="123">
        <f>SUMÁRIO!H26</f>
        <v>27.5</v>
      </c>
      <c r="D23" s="301">
        <f>SUM(SUMÁRIO!I26/SQRT(4))</f>
        <v>13.124404748406688</v>
      </c>
      <c r="E23" s="104"/>
      <c r="F23" s="119"/>
      <c r="G23" s="104"/>
      <c r="H23" s="104"/>
      <c r="I23" s="104"/>
      <c r="J23" s="104"/>
      <c r="K23" s="104"/>
      <c r="L23" s="104"/>
      <c r="M23" s="104"/>
      <c r="N23" s="108"/>
      <c r="O23" s="104"/>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row>
    <row r="24" spans="2:99" s="103" customFormat="1" ht="14.25" customHeight="1">
      <c r="E24" s="104"/>
      <c r="F24" s="119"/>
      <c r="G24" s="104"/>
      <c r="H24" s="104"/>
      <c r="I24" s="104"/>
      <c r="J24" s="104"/>
      <c r="K24" s="104"/>
      <c r="L24" s="104"/>
      <c r="M24" s="104"/>
      <c r="N24" s="108"/>
      <c r="O24" s="104"/>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row>
    <row r="25" spans="2:99" s="103" customFormat="1" ht="14.25" customHeight="1" thickBot="1">
      <c r="E25" s="104"/>
      <c r="F25" s="119"/>
      <c r="G25" s="104"/>
      <c r="H25" s="104"/>
      <c r="I25" s="104"/>
      <c r="J25" s="104"/>
      <c r="K25" s="104"/>
      <c r="L25" s="104"/>
      <c r="M25" s="104"/>
      <c r="N25" s="108"/>
      <c r="O25" s="104"/>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row>
    <row r="26" spans="2:99" s="103" customFormat="1" ht="14.25" customHeight="1" thickBot="1">
      <c r="B26" s="125" t="s">
        <v>83</v>
      </c>
      <c r="C26" s="110" t="s">
        <v>26</v>
      </c>
      <c r="D26" s="111" t="s">
        <v>75</v>
      </c>
      <c r="E26" s="104"/>
      <c r="F26" s="119"/>
      <c r="G26" s="104"/>
      <c r="H26" s="104"/>
      <c r="I26" s="104"/>
      <c r="J26" s="104"/>
      <c r="K26" s="104"/>
      <c r="L26" s="104"/>
      <c r="M26" s="104"/>
      <c r="N26" s="108"/>
      <c r="O26" s="104"/>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row>
    <row r="27" spans="2:99" s="103" customFormat="1" ht="14.25" customHeight="1">
      <c r="B27" s="126" t="s">
        <v>84</v>
      </c>
      <c r="C27" s="117">
        <f>SUMÁRIO!H29</f>
        <v>0</v>
      </c>
      <c r="D27" s="118">
        <f>SUM(SUMÁRIO!I29/SQRT(4))</f>
        <v>0</v>
      </c>
      <c r="E27" s="104"/>
      <c r="F27" s="119"/>
      <c r="G27" s="104"/>
      <c r="H27" s="104"/>
      <c r="I27" s="104"/>
      <c r="J27" s="104"/>
      <c r="K27" s="104"/>
      <c r="L27" s="104"/>
      <c r="M27" s="104"/>
      <c r="N27" s="108"/>
      <c r="O27" s="104"/>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row>
    <row r="28" spans="2:99" s="103" customFormat="1">
      <c r="B28" s="126" t="s">
        <v>85</v>
      </c>
      <c r="C28" s="117">
        <f>SUMÁRIO!H30</f>
        <v>0</v>
      </c>
      <c r="D28" s="118">
        <f>SUM(SUMÁRIO!I30/SQRT(4))</f>
        <v>0</v>
      </c>
      <c r="E28" s="104"/>
      <c r="F28" s="119"/>
      <c r="G28" s="104"/>
      <c r="H28" s="104"/>
      <c r="I28" s="104"/>
      <c r="J28" s="104"/>
      <c r="K28" s="104"/>
      <c r="L28" s="104"/>
      <c r="M28" s="104"/>
      <c r="N28" s="108"/>
      <c r="O28" s="104"/>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row>
    <row r="29" spans="2:99" s="103" customFormat="1">
      <c r="B29" s="126" t="s">
        <v>86</v>
      </c>
      <c r="C29" s="117">
        <f>SUMÁRIO!H31</f>
        <v>0</v>
      </c>
      <c r="D29" s="118">
        <f>SUM(SUMÁRIO!I31/SQRT(4))</f>
        <v>0</v>
      </c>
      <c r="E29" s="104"/>
      <c r="F29" s="119"/>
      <c r="G29" s="104"/>
      <c r="H29" s="104"/>
      <c r="I29" s="104"/>
      <c r="J29" s="104"/>
      <c r="K29" s="104"/>
      <c r="L29" s="104"/>
      <c r="M29" s="104"/>
      <c r="N29" s="108"/>
      <c r="O29" s="104"/>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row>
    <row r="30" spans="2:99" s="103" customFormat="1" ht="14.25" customHeight="1">
      <c r="B30" s="126" t="s">
        <v>87</v>
      </c>
      <c r="C30" s="117">
        <f>SUMÁRIO!H32</f>
        <v>0</v>
      </c>
      <c r="D30" s="118">
        <f>SUM(SUMÁRIO!I32/SQRT(4))</f>
        <v>0</v>
      </c>
      <c r="E30" s="104"/>
      <c r="F30" s="119"/>
      <c r="G30" s="104"/>
      <c r="H30" s="104"/>
      <c r="I30" s="104"/>
      <c r="J30" s="104"/>
      <c r="K30" s="104"/>
      <c r="L30" s="104"/>
      <c r="M30" s="104"/>
      <c r="N30" s="108"/>
      <c r="O30" s="104"/>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row>
    <row r="31" spans="2:99" s="103" customFormat="1" ht="14.25" customHeight="1" thickBot="1">
      <c r="B31" s="127" t="s">
        <v>88</v>
      </c>
      <c r="C31" s="123">
        <f>SUMÁRIO!H33</f>
        <v>0</v>
      </c>
      <c r="D31" s="124">
        <f>SUM(SUMÁRIO!I33/SQRT(4))</f>
        <v>0</v>
      </c>
      <c r="E31" s="104"/>
      <c r="F31" s="119"/>
      <c r="G31" s="104"/>
      <c r="H31" s="104"/>
      <c r="I31" s="104"/>
      <c r="J31" s="104"/>
      <c r="K31" s="104"/>
      <c r="L31" s="104"/>
      <c r="M31" s="104"/>
      <c r="N31" s="108"/>
      <c r="O31" s="104"/>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row>
    <row r="32" spans="2:99" s="103" customFormat="1" ht="14.25" customHeight="1">
      <c r="E32" s="104"/>
      <c r="F32" s="119"/>
      <c r="G32" s="104"/>
      <c r="H32" s="104"/>
      <c r="I32" s="104"/>
      <c r="J32" s="104"/>
      <c r="K32" s="104"/>
      <c r="L32" s="104"/>
      <c r="M32" s="104"/>
      <c r="N32" s="108"/>
      <c r="O32" s="104"/>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row>
    <row r="33" spans="2:99" s="103" customFormat="1" ht="14.25" customHeight="1" thickBot="1">
      <c r="E33" s="104"/>
      <c r="F33" s="119"/>
      <c r="G33" s="104"/>
      <c r="H33" s="104"/>
      <c r="I33" s="104"/>
      <c r="J33" s="104"/>
      <c r="K33" s="104"/>
      <c r="L33" s="104"/>
      <c r="M33" s="104"/>
      <c r="N33" s="108"/>
      <c r="O33" s="104"/>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row>
    <row r="34" spans="2:99" s="103" customFormat="1" ht="14.25" customHeight="1" thickBot="1">
      <c r="B34" s="125" t="s">
        <v>391</v>
      </c>
      <c r="C34" s="110" t="s">
        <v>26</v>
      </c>
      <c r="D34" s="111" t="s">
        <v>75</v>
      </c>
      <c r="E34" s="104"/>
      <c r="F34" s="119"/>
      <c r="G34" s="104"/>
      <c r="H34" s="104"/>
      <c r="I34" s="104"/>
      <c r="J34" s="104"/>
      <c r="K34" s="104"/>
      <c r="L34" s="104"/>
      <c r="M34" s="104"/>
      <c r="N34" s="108"/>
      <c r="O34" s="104"/>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row>
    <row r="35" spans="2:99" s="103" customFormat="1" ht="14.25" customHeight="1">
      <c r="B35" s="126" t="s">
        <v>85</v>
      </c>
      <c r="C35" s="117">
        <f>SUMÁRIO!H37</f>
        <v>0</v>
      </c>
      <c r="D35" s="118">
        <f>SUM(SUMÁRIO!I37/SQRT(4))</f>
        <v>0</v>
      </c>
      <c r="E35" s="104"/>
      <c r="F35" s="119"/>
      <c r="G35" s="104"/>
      <c r="H35" s="104"/>
      <c r="I35" s="104"/>
      <c r="J35" s="104"/>
      <c r="K35" s="104"/>
      <c r="L35" s="104"/>
      <c r="M35" s="104"/>
      <c r="N35" s="108"/>
      <c r="O35" s="104"/>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row>
    <row r="36" spans="2:99" s="103" customFormat="1" ht="14.25" customHeight="1">
      <c r="B36" s="126" t="s">
        <v>86</v>
      </c>
      <c r="C36" s="117">
        <f>SUMÁRIO!H38</f>
        <v>0</v>
      </c>
      <c r="D36" s="118">
        <f>SUM(SUMÁRIO!I38/SQRT(4))</f>
        <v>0</v>
      </c>
      <c r="E36" s="104"/>
      <c r="F36" s="119"/>
      <c r="G36" s="104"/>
      <c r="H36" s="104"/>
      <c r="I36" s="104"/>
      <c r="J36" s="104"/>
      <c r="K36" s="104"/>
      <c r="L36" s="104"/>
      <c r="M36" s="104"/>
      <c r="N36" s="108"/>
      <c r="O36" s="104"/>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row>
    <row r="37" spans="2:99" s="103" customFormat="1" ht="14.25" customHeight="1">
      <c r="B37" s="126" t="s">
        <v>87</v>
      </c>
      <c r="C37" s="117">
        <f>SUMÁRIO!H39</f>
        <v>0</v>
      </c>
      <c r="D37" s="118">
        <f>SUM(SUMÁRIO!I39/SQRT(4))</f>
        <v>0</v>
      </c>
      <c r="E37" s="104"/>
      <c r="F37" s="119"/>
      <c r="G37" s="104"/>
      <c r="H37" s="104"/>
      <c r="I37" s="104"/>
      <c r="J37" s="104"/>
      <c r="K37" s="104"/>
      <c r="L37" s="104"/>
      <c r="M37" s="104"/>
      <c r="N37" s="108"/>
      <c r="O37" s="104"/>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row>
    <row r="38" spans="2:99" s="103" customFormat="1" ht="14" thickBot="1">
      <c r="B38" s="127" t="s">
        <v>88</v>
      </c>
      <c r="C38" s="123">
        <f>SUMÁRIO!H40</f>
        <v>0</v>
      </c>
      <c r="D38" s="124">
        <f>SUM(SUMÁRIO!I40/SQRT(4))</f>
        <v>0</v>
      </c>
      <c r="E38" s="104"/>
      <c r="F38" s="119"/>
      <c r="G38" s="104"/>
      <c r="H38" s="104"/>
      <c r="I38" s="104"/>
      <c r="J38" s="104"/>
      <c r="K38" s="104"/>
      <c r="L38" s="104"/>
      <c r="M38" s="104"/>
      <c r="N38" s="108"/>
      <c r="O38" s="104"/>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row>
    <row r="39" spans="2:99" s="103" customFormat="1">
      <c r="E39" s="104"/>
      <c r="F39" s="119"/>
      <c r="G39" s="104"/>
      <c r="H39" s="104"/>
      <c r="I39" s="104"/>
      <c r="J39" s="104"/>
      <c r="K39" s="104"/>
      <c r="L39" s="104"/>
      <c r="M39" s="104"/>
      <c r="N39" s="108"/>
      <c r="O39" s="104"/>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row>
    <row r="40" spans="2:99" s="103" customFormat="1" ht="14.25" customHeight="1" thickBot="1">
      <c r="E40" s="104"/>
      <c r="F40" s="119"/>
      <c r="G40" s="104"/>
      <c r="H40" s="104"/>
      <c r="I40" s="104"/>
      <c r="J40" s="104"/>
      <c r="K40" s="104"/>
      <c r="L40" s="104"/>
      <c r="M40" s="104"/>
      <c r="N40" s="108"/>
      <c r="O40" s="104"/>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row>
    <row r="41" spans="2:99" s="103" customFormat="1" ht="14.25" customHeight="1" thickBot="1">
      <c r="B41" s="128" t="s">
        <v>89</v>
      </c>
      <c r="C41" s="129" t="s">
        <v>26</v>
      </c>
      <c r="D41" s="130" t="s">
        <v>75</v>
      </c>
      <c r="E41" s="104"/>
      <c r="F41" s="119"/>
      <c r="G41" s="104"/>
      <c r="H41" s="104"/>
      <c r="I41" s="104"/>
      <c r="J41" s="104"/>
      <c r="K41" s="104"/>
      <c r="L41" s="104"/>
      <c r="M41" s="104"/>
      <c r="N41" s="108"/>
      <c r="O41" s="104"/>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row>
    <row r="42" spans="2:99" s="103" customFormat="1" ht="14.25" customHeight="1">
      <c r="B42" s="67" t="s">
        <v>44</v>
      </c>
      <c r="C42" s="131">
        <f>SUMÁRIO!H47</f>
        <v>0.5</v>
      </c>
      <c r="D42" s="299">
        <f>SUM(SUMÁRIO!I47/SQRT(4))</f>
        <v>0.28867513459481287</v>
      </c>
      <c r="E42" s="104"/>
      <c r="F42" s="119"/>
      <c r="G42" s="104"/>
      <c r="H42" s="104"/>
      <c r="I42" s="104"/>
      <c r="J42" s="104"/>
      <c r="K42" s="104"/>
      <c r="L42" s="104"/>
      <c r="M42" s="104"/>
      <c r="N42" s="108"/>
      <c r="O42" s="104"/>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row>
    <row r="43" spans="2:99" s="103" customFormat="1" ht="14.25" customHeight="1">
      <c r="B43" s="69" t="s">
        <v>388</v>
      </c>
      <c r="C43" s="131">
        <f>SUMÁRIO!H48</f>
        <v>0.25</v>
      </c>
      <c r="D43" s="299">
        <f>SUM(SUMÁRIO!I48/SQRT(4))</f>
        <v>0.25</v>
      </c>
      <c r="E43" s="104"/>
      <c r="F43" s="119"/>
      <c r="G43" s="104"/>
      <c r="H43" s="104"/>
      <c r="I43" s="104"/>
      <c r="J43" s="104"/>
      <c r="K43" s="104"/>
      <c r="L43" s="104"/>
      <c r="M43" s="104"/>
      <c r="N43" s="108"/>
      <c r="O43" s="104"/>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row>
    <row r="44" spans="2:99" s="103" customFormat="1" ht="14.25" customHeight="1">
      <c r="B44" s="69" t="s">
        <v>277</v>
      </c>
      <c r="C44" s="131">
        <f>SUMÁRIO!H49</f>
        <v>0</v>
      </c>
      <c r="D44" s="299">
        <f>SUM(SUMÁRIO!I49/SQRT(4))</f>
        <v>0</v>
      </c>
      <c r="E44" s="104"/>
      <c r="F44" s="119"/>
      <c r="G44" s="104"/>
      <c r="H44" s="104"/>
      <c r="I44" s="104"/>
      <c r="J44" s="104"/>
      <c r="K44" s="104"/>
      <c r="L44" s="104"/>
      <c r="M44" s="104"/>
      <c r="N44" s="108"/>
      <c r="O44" s="104"/>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row>
    <row r="45" spans="2:99" s="103" customFormat="1" ht="14.25" customHeight="1">
      <c r="B45" s="69" t="s">
        <v>45</v>
      </c>
      <c r="C45" s="131">
        <f>SUMÁRIO!H50</f>
        <v>0.25</v>
      </c>
      <c r="D45" s="299">
        <f>SUM(SUMÁRIO!I50/SQRT(4))</f>
        <v>0.25</v>
      </c>
      <c r="E45" s="104"/>
      <c r="F45" s="119"/>
      <c r="G45" s="104"/>
      <c r="H45" s="104"/>
      <c r="I45" s="104"/>
      <c r="J45" s="104"/>
      <c r="K45" s="104"/>
      <c r="L45" s="104"/>
      <c r="M45" s="104"/>
      <c r="N45" s="108"/>
      <c r="O45" s="104"/>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row>
    <row r="46" spans="2:99" s="103" customFormat="1" ht="14.25" customHeight="1">
      <c r="B46" s="69" t="s">
        <v>46</v>
      </c>
      <c r="C46" s="131">
        <f>SUMÁRIO!H51</f>
        <v>78.25</v>
      </c>
      <c r="D46" s="299">
        <f>SUM(SUMÁRIO!I51/SQRT(4))</f>
        <v>13.517735263965879</v>
      </c>
      <c r="E46" s="104"/>
      <c r="F46" s="119"/>
      <c r="G46" s="104"/>
      <c r="H46" s="104"/>
      <c r="I46" s="104"/>
      <c r="J46" s="104"/>
      <c r="K46" s="104"/>
      <c r="L46" s="104"/>
      <c r="M46" s="104"/>
      <c r="N46" s="108"/>
      <c r="O46" s="104"/>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row>
    <row r="47" spans="2:99" s="103" customFormat="1">
      <c r="B47" s="67" t="s">
        <v>47</v>
      </c>
      <c r="C47" s="131">
        <f>SUMÁRIO!H52</f>
        <v>0.25</v>
      </c>
      <c r="D47" s="299">
        <f>SUM(SUMÁRIO!I52/SQRT(4))</f>
        <v>0.25</v>
      </c>
      <c r="E47" s="104"/>
      <c r="F47" s="119"/>
      <c r="G47" s="104"/>
      <c r="H47" s="104"/>
      <c r="I47" s="104"/>
      <c r="J47" s="104"/>
      <c r="K47" s="104"/>
      <c r="L47" s="104"/>
      <c r="M47" s="104"/>
      <c r="N47" s="108"/>
      <c r="O47" s="104"/>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row>
    <row r="48" spans="2:99" s="103" customFormat="1">
      <c r="B48" s="70" t="s">
        <v>48</v>
      </c>
      <c r="C48" s="131">
        <f>SUMÁRIO!H53</f>
        <v>0</v>
      </c>
      <c r="D48" s="299">
        <f>SUM(SUMÁRIO!I53/SQRT(4))</f>
        <v>0</v>
      </c>
      <c r="E48" s="104"/>
      <c r="F48" s="119"/>
      <c r="G48" s="104"/>
      <c r="H48" s="104"/>
      <c r="I48" s="104"/>
      <c r="J48" s="104"/>
      <c r="K48" s="104"/>
      <c r="L48" s="104"/>
      <c r="M48" s="104"/>
      <c r="N48" s="108"/>
      <c r="O48" s="104"/>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row>
    <row r="49" spans="2:99" s="103" customFormat="1">
      <c r="B49" s="144" t="s">
        <v>385</v>
      </c>
      <c r="C49" s="131">
        <f>SUMÁRIO!H54</f>
        <v>12.5</v>
      </c>
      <c r="D49" s="299">
        <f>SUM(SUMÁRIO!I54/SQRT(4))</f>
        <v>1.8929694486000912</v>
      </c>
      <c r="E49" s="104"/>
      <c r="F49" s="119"/>
      <c r="G49" s="104"/>
      <c r="H49" s="104"/>
      <c r="I49" s="104"/>
      <c r="J49" s="104"/>
      <c r="K49" s="104"/>
      <c r="L49" s="104"/>
      <c r="M49" s="104"/>
      <c r="N49" s="108"/>
      <c r="O49" s="104"/>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row>
    <row r="50" spans="2:99" s="103" customFormat="1">
      <c r="B50" s="67" t="s">
        <v>50</v>
      </c>
      <c r="C50" s="131">
        <f>SUMÁRIO!H55</f>
        <v>0</v>
      </c>
      <c r="D50" s="299">
        <f>SUM(SUMÁRIO!I55/SQRT(4))</f>
        <v>0</v>
      </c>
      <c r="E50" s="104"/>
      <c r="F50" s="119"/>
      <c r="G50" s="104"/>
      <c r="H50" s="104"/>
      <c r="I50" s="104"/>
      <c r="J50" s="104"/>
      <c r="K50" s="104"/>
      <c r="L50" s="104"/>
      <c r="M50" s="104"/>
      <c r="N50" s="108"/>
      <c r="O50" s="104"/>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row>
    <row r="51" spans="2:99" s="103" customFormat="1">
      <c r="B51" s="67" t="s">
        <v>51</v>
      </c>
      <c r="C51" s="131">
        <f>SUMÁRIO!H56</f>
        <v>0</v>
      </c>
      <c r="D51" s="299">
        <f>SUM(SUMÁRIO!I56/SQRT(4))</f>
        <v>0</v>
      </c>
      <c r="E51" s="104"/>
      <c r="F51" s="119"/>
      <c r="G51" s="104"/>
      <c r="H51" s="104"/>
      <c r="I51" s="104"/>
      <c r="J51" s="104"/>
      <c r="K51" s="104"/>
      <c r="L51" s="104"/>
      <c r="M51" s="104"/>
      <c r="N51" s="108"/>
      <c r="O51" s="104"/>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row>
    <row r="52" spans="2:99" s="103" customFormat="1">
      <c r="B52" s="71" t="s">
        <v>278</v>
      </c>
      <c r="C52" s="131">
        <f>SUMÁRIO!H57</f>
        <v>0</v>
      </c>
      <c r="D52" s="299">
        <f>SUM(SUMÁRIO!I57/SQRT(4))</f>
        <v>0</v>
      </c>
      <c r="E52" s="104"/>
      <c r="F52" s="119"/>
      <c r="G52" s="104"/>
      <c r="H52" s="104"/>
      <c r="I52" s="104"/>
      <c r="J52" s="104"/>
      <c r="K52" s="104"/>
      <c r="L52" s="104"/>
      <c r="M52" s="104"/>
      <c r="N52" s="108"/>
      <c r="O52" s="104"/>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row>
    <row r="53" spans="2:99" s="103" customFormat="1" ht="14" thickBot="1">
      <c r="B53" s="132" t="s">
        <v>53</v>
      </c>
      <c r="C53" s="133">
        <f>SUMÁRIO!H58</f>
        <v>0.25</v>
      </c>
      <c r="D53" s="296">
        <f>SUM(SUMÁRIO!I58/SQRT(4))</f>
        <v>0.25</v>
      </c>
      <c r="E53" s="104"/>
      <c r="F53" s="134"/>
      <c r="G53" s="135"/>
      <c r="H53" s="135"/>
      <c r="I53" s="135"/>
      <c r="J53" s="135"/>
      <c r="K53" s="135"/>
      <c r="L53" s="135"/>
      <c r="M53" s="135"/>
      <c r="N53" s="136"/>
      <c r="O53" s="104"/>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c r="CK53" s="93"/>
      <c r="CL53" s="93"/>
      <c r="CM53" s="93"/>
      <c r="CN53" s="93"/>
      <c r="CO53" s="93"/>
      <c r="CP53" s="93"/>
      <c r="CQ53" s="93"/>
      <c r="CR53" s="93"/>
      <c r="CS53" s="93"/>
      <c r="CT53" s="93"/>
      <c r="CU53" s="93"/>
    </row>
    <row r="54" spans="2:99" s="103" customFormat="1">
      <c r="E54" s="104"/>
      <c r="F54" s="104"/>
      <c r="G54" s="104"/>
      <c r="H54" s="104"/>
      <c r="I54" s="104"/>
      <c r="J54" s="104"/>
      <c r="K54" s="104"/>
      <c r="L54" s="104"/>
      <c r="M54" s="104"/>
      <c r="N54" s="104"/>
      <c r="O54" s="104"/>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row>
    <row r="55" spans="2:99" s="103" customFormat="1" ht="14" thickBot="1">
      <c r="E55" s="104"/>
      <c r="F55" s="104"/>
      <c r="G55" s="104"/>
      <c r="H55" s="104"/>
      <c r="I55" s="104"/>
      <c r="J55" s="104"/>
      <c r="K55" s="104"/>
      <c r="L55" s="104"/>
      <c r="M55" s="104"/>
      <c r="N55" s="104"/>
      <c r="O55" s="104"/>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row>
    <row r="56" spans="2:99" s="103" customFormat="1" ht="17" thickBot="1">
      <c r="D56" s="104"/>
      <c r="E56" s="104"/>
      <c r="F56" s="137"/>
      <c r="G56" s="138"/>
      <c r="H56" s="138"/>
      <c r="I56" s="138"/>
      <c r="J56" s="138"/>
      <c r="K56" s="138"/>
      <c r="L56" s="138"/>
      <c r="M56" s="138"/>
      <c r="N56" s="139"/>
      <c r="O56" s="104"/>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row>
    <row r="57" spans="2:99" s="103" customFormat="1" ht="18" customHeight="1" thickBot="1">
      <c r="B57" s="140" t="s">
        <v>90</v>
      </c>
      <c r="C57" s="129" t="s">
        <v>26</v>
      </c>
      <c r="D57" s="130" t="s">
        <v>75</v>
      </c>
      <c r="E57" s="104"/>
      <c r="F57" s="141"/>
      <c r="G57" s="142"/>
      <c r="H57" s="142"/>
      <c r="I57" s="142"/>
      <c r="J57" s="142"/>
      <c r="K57" s="142"/>
      <c r="L57" s="142"/>
      <c r="M57" s="142"/>
      <c r="N57" s="143"/>
      <c r="O57" s="104"/>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row>
    <row r="58" spans="2:99" s="103" customFormat="1" ht="30" customHeight="1">
      <c r="B58" s="75" t="s">
        <v>384</v>
      </c>
      <c r="C58" s="131" t="e">
        <f>SUMÁRIO!H63</f>
        <v>#DIV/0!</v>
      </c>
      <c r="D58" s="299" t="e">
        <f>SUM(SUMÁRIO!I63/SQRT(4))</f>
        <v>#DIV/0!</v>
      </c>
      <c r="F58" s="145"/>
      <c r="G58" s="146"/>
      <c r="H58" s="146"/>
      <c r="I58" s="146"/>
      <c r="J58" s="146"/>
      <c r="K58" s="146"/>
      <c r="L58" s="146"/>
      <c r="M58" s="146"/>
      <c r="N58" s="147"/>
      <c r="O58" s="148"/>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row>
    <row r="59" spans="2:99" s="103" customFormat="1" ht="25">
      <c r="B59" s="144" t="s">
        <v>404</v>
      </c>
      <c r="C59" s="131" t="e">
        <f>SUMÁRIO!H64</f>
        <v>#DIV/0!</v>
      </c>
      <c r="D59" s="299" t="e">
        <f>SUM(SUMÁRIO!I64/SQRT(4))</f>
        <v>#DIV/0!</v>
      </c>
      <c r="E59" s="149"/>
      <c r="F59" s="145"/>
      <c r="G59" s="146"/>
      <c r="H59" s="146"/>
      <c r="I59" s="146"/>
      <c r="J59" s="146"/>
      <c r="K59" s="146"/>
      <c r="L59" s="146"/>
      <c r="M59" s="146"/>
      <c r="N59" s="147"/>
      <c r="O59" s="104"/>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row>
    <row r="60" spans="2:99" s="103" customFormat="1" ht="27" customHeight="1">
      <c r="B60" s="144" t="s">
        <v>397</v>
      </c>
      <c r="C60" s="131" t="e">
        <f>SUMÁRIO!H65</f>
        <v>#DIV/0!</v>
      </c>
      <c r="D60" s="299" t="e">
        <f>SUM(SUMÁRIO!I65/SQRT(4))</f>
        <v>#DIV/0!</v>
      </c>
      <c r="F60" s="145"/>
      <c r="G60" s="146"/>
      <c r="H60" s="146"/>
      <c r="I60" s="146"/>
      <c r="J60" s="146"/>
      <c r="K60" s="146"/>
      <c r="L60" s="146"/>
      <c r="M60" s="146"/>
      <c r="N60" s="147"/>
      <c r="O60" s="104"/>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row>
    <row r="61" spans="2:99" s="103" customFormat="1" ht="17">
      <c r="B61" s="144" t="s">
        <v>56</v>
      </c>
      <c r="C61" s="131">
        <f>SUMÁRIO!H66</f>
        <v>1</v>
      </c>
      <c r="D61" s="299" t="e">
        <f>SUM(SUMÁRIO!I66/SQRT(4))</f>
        <v>#DIV/0!</v>
      </c>
      <c r="E61" s="104"/>
      <c r="F61" s="145"/>
      <c r="G61" s="146"/>
      <c r="H61" s="146"/>
      <c r="I61" s="146"/>
      <c r="J61" s="146"/>
      <c r="K61" s="146"/>
      <c r="L61" s="146"/>
      <c r="M61" s="146"/>
      <c r="N61" s="147"/>
      <c r="O61" s="104"/>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row>
    <row r="62" spans="2:99" s="103" customFormat="1" ht="18" thickBot="1">
      <c r="B62" s="150" t="s">
        <v>57</v>
      </c>
      <c r="C62" s="133" t="e">
        <f>AVERAGE(SUMÁRIO!C67:F68)</f>
        <v>#DIV/0!</v>
      </c>
      <c r="D62" s="296" t="e">
        <f>SUM(STDEV(SUMÁRIO!C67:F68)/SQRT(8))</f>
        <v>#DIV/0!</v>
      </c>
      <c r="E62" s="104"/>
      <c r="F62" s="145"/>
      <c r="G62" s="146"/>
      <c r="H62" s="146"/>
      <c r="I62" s="146"/>
      <c r="J62" s="146"/>
      <c r="K62" s="146"/>
      <c r="L62" s="146"/>
      <c r="M62" s="146"/>
      <c r="N62" s="147"/>
      <c r="O62" s="104"/>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row>
    <row r="63" spans="2:99" s="103" customFormat="1" ht="17">
      <c r="F63" s="145"/>
      <c r="G63" s="146"/>
      <c r="H63" s="146"/>
      <c r="I63" s="146"/>
      <c r="J63" s="146"/>
      <c r="K63" s="146"/>
      <c r="L63" s="146"/>
      <c r="M63" s="146"/>
      <c r="N63" s="147"/>
      <c r="O63" s="104"/>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row>
    <row r="64" spans="2:99" s="103" customFormat="1" ht="17">
      <c r="F64" s="145"/>
      <c r="G64" s="146"/>
      <c r="H64" s="146"/>
      <c r="I64" s="146"/>
      <c r="J64" s="146"/>
      <c r="K64" s="146"/>
      <c r="L64" s="146"/>
      <c r="M64" s="146"/>
      <c r="N64" s="147"/>
      <c r="O64" s="104"/>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row>
    <row r="65" spans="1:99" s="103" customFormat="1" ht="18" thickBot="1">
      <c r="F65" s="145"/>
      <c r="G65" s="146"/>
      <c r="H65" s="146"/>
      <c r="I65" s="146"/>
      <c r="J65" s="146"/>
      <c r="K65" s="146"/>
      <c r="L65" s="146"/>
      <c r="M65" s="146"/>
      <c r="N65" s="147"/>
      <c r="O65" s="104"/>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c r="CR65" s="93"/>
      <c r="CS65" s="93"/>
      <c r="CT65" s="93"/>
      <c r="CU65" s="93"/>
    </row>
    <row r="66" spans="1:99" s="103" customFormat="1" ht="18" thickBot="1">
      <c r="B66" s="140" t="s">
        <v>91</v>
      </c>
      <c r="C66" s="129" t="s">
        <v>92</v>
      </c>
      <c r="D66" s="130" t="s">
        <v>75</v>
      </c>
      <c r="F66" s="145"/>
      <c r="G66" s="146"/>
      <c r="H66" s="146"/>
      <c r="I66" s="146"/>
      <c r="J66" s="146"/>
      <c r="K66" s="146"/>
      <c r="L66" s="146"/>
      <c r="M66" s="146"/>
      <c r="N66" s="147"/>
      <c r="O66" s="104"/>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93"/>
      <c r="BM66" s="93"/>
      <c r="BN66" s="93"/>
      <c r="BO66" s="93"/>
      <c r="BP66" s="93"/>
      <c r="BQ66" s="93"/>
      <c r="BR66" s="93"/>
      <c r="BS66" s="93"/>
      <c r="BT66" s="93"/>
      <c r="BU66" s="93"/>
      <c r="BV66" s="93"/>
      <c r="BW66" s="93"/>
      <c r="BX66" s="93"/>
      <c r="BY66" s="93"/>
      <c r="BZ66" s="93"/>
      <c r="CA66" s="93"/>
      <c r="CB66" s="93"/>
      <c r="CC66" s="93"/>
      <c r="CD66" s="93"/>
      <c r="CE66" s="93"/>
      <c r="CF66" s="93"/>
      <c r="CG66" s="93"/>
      <c r="CH66" s="93"/>
      <c r="CI66" s="93"/>
      <c r="CJ66" s="93"/>
      <c r="CK66" s="93"/>
      <c r="CL66" s="93"/>
      <c r="CM66" s="93"/>
      <c r="CN66" s="93"/>
      <c r="CO66" s="93"/>
      <c r="CP66" s="93"/>
      <c r="CQ66" s="93"/>
      <c r="CR66" s="93"/>
      <c r="CS66" s="93"/>
      <c r="CT66" s="93"/>
      <c r="CU66" s="93"/>
    </row>
    <row r="67" spans="1:99" s="103" customFormat="1" ht="18" thickBot="1">
      <c r="B67" s="150" t="s">
        <v>93</v>
      </c>
      <c r="C67" s="295" t="e">
        <f>SUMÁRIO!H69</f>
        <v>#DIV/0!</v>
      </c>
      <c r="D67" s="296" t="e">
        <f>SUM(SUMÁRIO!I69/SQRT(4))</f>
        <v>#DIV/0!</v>
      </c>
      <c r="E67" s="151"/>
      <c r="F67" s="145"/>
      <c r="G67" s="146"/>
      <c r="H67" s="146"/>
      <c r="I67" s="146"/>
      <c r="J67" s="146"/>
      <c r="K67" s="146"/>
      <c r="L67" s="146"/>
      <c r="M67" s="146"/>
      <c r="N67" s="147"/>
      <c r="O67" s="104"/>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93"/>
      <c r="CS67" s="93"/>
      <c r="CT67" s="93"/>
      <c r="CU67" s="93"/>
    </row>
    <row r="68" spans="1:99" s="103" customFormat="1">
      <c r="E68" s="104"/>
      <c r="F68" s="119"/>
      <c r="G68" s="104"/>
      <c r="H68" s="104"/>
      <c r="I68" s="104"/>
      <c r="J68" s="104"/>
      <c r="K68" s="104"/>
      <c r="L68" s="104"/>
      <c r="M68" s="104"/>
      <c r="N68" s="108"/>
      <c r="O68" s="104"/>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93"/>
      <c r="CS68" s="93"/>
      <c r="CT68" s="93"/>
      <c r="CU68" s="93"/>
    </row>
    <row r="69" spans="1:99" s="103" customFormat="1" ht="14" thickBot="1">
      <c r="F69" s="119"/>
      <c r="G69" s="104"/>
      <c r="H69" s="104"/>
      <c r="I69" s="104"/>
      <c r="J69" s="104"/>
      <c r="K69" s="104"/>
      <c r="L69" s="104"/>
      <c r="M69" s="104"/>
      <c r="N69" s="108"/>
      <c r="O69" s="104"/>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c r="CR69" s="93"/>
      <c r="CS69" s="93"/>
      <c r="CT69" s="93"/>
      <c r="CU69" s="93"/>
    </row>
    <row r="70" spans="1:99" s="103" customFormat="1" ht="14" thickBot="1">
      <c r="B70" s="140" t="s">
        <v>94</v>
      </c>
      <c r="C70" s="129" t="s">
        <v>92</v>
      </c>
      <c r="D70" s="104"/>
      <c r="E70" s="104"/>
      <c r="F70" s="119"/>
      <c r="G70" s="104"/>
      <c r="H70" s="104"/>
      <c r="I70" s="104"/>
      <c r="J70" s="104"/>
      <c r="K70" s="104"/>
      <c r="L70" s="104"/>
      <c r="M70" s="104"/>
      <c r="N70" s="108"/>
      <c r="O70" s="104"/>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c r="BZ70" s="93"/>
      <c r="CA70" s="93"/>
      <c r="CB70" s="93"/>
      <c r="CC70" s="93"/>
      <c r="CD70" s="93"/>
      <c r="CE70" s="93"/>
      <c r="CF70" s="93"/>
      <c r="CG70" s="93"/>
      <c r="CH70" s="93"/>
      <c r="CI70" s="93"/>
      <c r="CJ70" s="93"/>
      <c r="CK70" s="93"/>
      <c r="CL70" s="93"/>
      <c r="CM70" s="93"/>
      <c r="CN70" s="93"/>
      <c r="CO70" s="93"/>
      <c r="CP70" s="93"/>
      <c r="CQ70" s="93"/>
      <c r="CR70" s="93"/>
      <c r="CS70" s="93"/>
      <c r="CT70" s="93"/>
      <c r="CU70" s="93"/>
    </row>
    <row r="71" spans="1:99" s="103" customFormat="1">
      <c r="B71" s="144" t="s">
        <v>95</v>
      </c>
      <c r="C71" s="294" t="e">
        <f>SUMÁRIO!H70</f>
        <v>#DIV/0!</v>
      </c>
      <c r="D71" s="104"/>
      <c r="E71" s="104"/>
      <c r="F71" s="119"/>
      <c r="G71" s="104"/>
      <c r="H71" s="104"/>
      <c r="I71" s="104"/>
      <c r="J71" s="104"/>
      <c r="K71" s="104"/>
      <c r="L71" s="104"/>
      <c r="M71" s="104"/>
      <c r="N71" s="108"/>
      <c r="O71" s="104"/>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3"/>
      <c r="BG71" s="93"/>
      <c r="BH71" s="93"/>
      <c r="BI71" s="93"/>
      <c r="BJ71" s="93"/>
      <c r="BK71" s="93"/>
      <c r="BL71" s="93"/>
      <c r="BM71" s="93"/>
      <c r="BN71" s="93"/>
      <c r="BO71" s="93"/>
      <c r="BP71" s="93"/>
      <c r="BQ71" s="93"/>
      <c r="BR71" s="93"/>
      <c r="BS71" s="93"/>
      <c r="BT71" s="93"/>
      <c r="BU71" s="93"/>
      <c r="BV71" s="93"/>
      <c r="BW71" s="93"/>
      <c r="BX71" s="93"/>
      <c r="BY71" s="93"/>
      <c r="BZ71" s="93"/>
      <c r="CA71" s="93"/>
      <c r="CB71" s="93"/>
      <c r="CC71" s="93"/>
      <c r="CD71" s="93"/>
      <c r="CE71" s="93"/>
      <c r="CF71" s="93"/>
      <c r="CG71" s="93"/>
      <c r="CH71" s="93"/>
      <c r="CI71" s="93"/>
      <c r="CJ71" s="93"/>
      <c r="CK71" s="93"/>
      <c r="CL71" s="93"/>
      <c r="CM71" s="93"/>
      <c r="CN71" s="93"/>
      <c r="CO71" s="93"/>
      <c r="CP71" s="93"/>
      <c r="CQ71" s="93"/>
      <c r="CR71" s="93"/>
      <c r="CS71" s="93"/>
      <c r="CT71" s="93"/>
      <c r="CU71" s="93"/>
    </row>
    <row r="72" spans="1:99" s="103" customFormat="1" ht="14" thickBot="1">
      <c r="A72" s="104"/>
      <c r="B72" s="150" t="s">
        <v>96</v>
      </c>
      <c r="C72" s="295" t="e">
        <f>100-C71</f>
        <v>#DIV/0!</v>
      </c>
      <c r="D72" s="104"/>
      <c r="E72" s="104"/>
      <c r="F72" s="119"/>
      <c r="G72" s="104"/>
      <c r="H72" s="104"/>
      <c r="I72" s="104"/>
      <c r="J72" s="104"/>
      <c r="K72" s="104"/>
      <c r="L72" s="104"/>
      <c r="M72" s="104"/>
      <c r="N72" s="108"/>
      <c r="O72" s="104"/>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3"/>
      <c r="BJ72" s="93"/>
      <c r="BK72" s="93"/>
      <c r="BL72" s="93"/>
      <c r="BM72" s="93"/>
      <c r="BN72" s="93"/>
      <c r="BO72" s="93"/>
      <c r="BP72" s="93"/>
      <c r="BQ72" s="93"/>
      <c r="BR72" s="93"/>
      <c r="BS72" s="93"/>
      <c r="BT72" s="93"/>
      <c r="BU72" s="93"/>
      <c r="BV72" s="93"/>
      <c r="BW72" s="93"/>
      <c r="BX72" s="93"/>
      <c r="BY72" s="93"/>
      <c r="BZ72" s="93"/>
      <c r="CA72" s="93"/>
      <c r="CB72" s="93"/>
      <c r="CC72" s="93"/>
      <c r="CD72" s="93"/>
      <c r="CE72" s="93"/>
      <c r="CF72" s="93"/>
      <c r="CG72" s="93"/>
      <c r="CH72" s="93"/>
      <c r="CI72" s="93"/>
      <c r="CJ72" s="93"/>
      <c r="CK72" s="93"/>
      <c r="CL72" s="93"/>
      <c r="CM72" s="93"/>
      <c r="CN72" s="93"/>
      <c r="CO72" s="93"/>
      <c r="CP72" s="93"/>
      <c r="CQ72" s="93"/>
      <c r="CR72" s="93"/>
      <c r="CS72" s="93"/>
      <c r="CT72" s="93"/>
      <c r="CU72" s="93"/>
    </row>
    <row r="73" spans="1:99" s="103" customFormat="1">
      <c r="A73" s="104"/>
      <c r="D73" s="104"/>
      <c r="E73" s="104"/>
      <c r="F73" s="119"/>
      <c r="G73" s="104"/>
      <c r="H73" s="104"/>
      <c r="I73" s="104"/>
      <c r="J73" s="104"/>
      <c r="K73" s="104"/>
      <c r="L73" s="104"/>
      <c r="M73" s="104"/>
      <c r="N73" s="108"/>
      <c r="O73" s="104"/>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row>
    <row r="74" spans="1:99" s="103" customFormat="1">
      <c r="A74" s="104"/>
      <c r="D74" s="104"/>
      <c r="E74" s="104"/>
      <c r="F74" s="119"/>
      <c r="G74" s="104"/>
      <c r="H74" s="104"/>
      <c r="I74" s="104"/>
      <c r="J74" s="104"/>
      <c r="K74" s="104"/>
      <c r="L74" s="104"/>
      <c r="M74" s="104"/>
      <c r="N74" s="108"/>
      <c r="O74" s="104"/>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row>
    <row r="75" spans="1:99" s="103" customFormat="1" ht="14" thickBot="1">
      <c r="A75" s="104"/>
      <c r="D75" s="104"/>
      <c r="E75" s="104"/>
      <c r="F75" s="119"/>
      <c r="G75" s="104"/>
      <c r="H75" s="104"/>
      <c r="I75" s="104"/>
      <c r="J75" s="104"/>
      <c r="K75" s="104"/>
      <c r="L75" s="104"/>
      <c r="M75" s="104"/>
      <c r="N75" s="108"/>
      <c r="O75" s="104"/>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row>
    <row r="76" spans="1:99" s="103" customFormat="1" ht="14" thickBot="1">
      <c r="B76" s="128" t="s">
        <v>97</v>
      </c>
      <c r="C76" s="129" t="s">
        <v>92</v>
      </c>
      <c r="D76" s="104"/>
      <c r="E76" s="104"/>
      <c r="F76" s="119"/>
      <c r="G76" s="104"/>
      <c r="H76" s="104"/>
      <c r="I76" s="104"/>
      <c r="J76" s="104"/>
      <c r="K76" s="104"/>
      <c r="L76" s="104"/>
      <c r="M76" s="104"/>
      <c r="N76" s="108"/>
      <c r="O76" s="104"/>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row>
    <row r="77" spans="1:99" s="103" customFormat="1">
      <c r="B77" s="144" t="s">
        <v>95</v>
      </c>
      <c r="C77" s="294" t="e">
        <f>SUMÁRIO!H71</f>
        <v>#DIV/0!</v>
      </c>
      <c r="D77" s="104"/>
      <c r="E77" s="104"/>
      <c r="F77" s="119"/>
      <c r="G77" s="104"/>
      <c r="H77" s="104"/>
      <c r="I77" s="104"/>
      <c r="J77" s="104"/>
      <c r="K77" s="104"/>
      <c r="L77" s="104"/>
      <c r="M77" s="104"/>
      <c r="N77" s="108"/>
      <c r="O77" s="104"/>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row>
    <row r="78" spans="1:99" s="103" customFormat="1" ht="14" thickBot="1">
      <c r="B78" s="150" t="s">
        <v>96</v>
      </c>
      <c r="C78" s="295" t="e">
        <f>100-C77</f>
        <v>#DIV/0!</v>
      </c>
      <c r="D78" s="104"/>
      <c r="E78" s="104"/>
      <c r="F78" s="119"/>
      <c r="G78" s="104"/>
      <c r="H78" s="104"/>
      <c r="I78" s="104"/>
      <c r="J78" s="104"/>
      <c r="K78" s="104"/>
      <c r="L78" s="104"/>
      <c r="M78" s="104"/>
      <c r="N78" s="108"/>
      <c r="O78" s="104"/>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row>
    <row r="79" spans="1:99" s="103" customFormat="1">
      <c r="D79" s="104"/>
      <c r="E79" s="104"/>
      <c r="F79" s="119"/>
      <c r="G79" s="104"/>
      <c r="H79" s="104"/>
      <c r="I79" s="104"/>
      <c r="J79" s="104"/>
      <c r="K79" s="104"/>
      <c r="L79" s="104"/>
      <c r="M79" s="104"/>
      <c r="N79" s="108"/>
      <c r="O79" s="104"/>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row>
    <row r="80" spans="1:99" s="103" customFormat="1">
      <c r="D80" s="104"/>
      <c r="E80" s="104"/>
      <c r="F80" s="119"/>
      <c r="G80" s="104"/>
      <c r="H80" s="104"/>
      <c r="I80" s="104"/>
      <c r="J80" s="104"/>
      <c r="K80" s="104"/>
      <c r="L80" s="104"/>
      <c r="M80" s="104"/>
      <c r="N80" s="108"/>
      <c r="O80" s="104"/>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93"/>
      <c r="CE80" s="93"/>
      <c r="CF80" s="93"/>
      <c r="CG80" s="93"/>
      <c r="CH80" s="93"/>
      <c r="CI80" s="93"/>
      <c r="CJ80" s="93"/>
      <c r="CK80" s="93"/>
      <c r="CL80" s="93"/>
      <c r="CM80" s="93"/>
      <c r="CN80" s="93"/>
      <c r="CO80" s="93"/>
      <c r="CP80" s="93"/>
      <c r="CQ80" s="93"/>
      <c r="CR80" s="93"/>
      <c r="CS80" s="93"/>
      <c r="CT80" s="93"/>
      <c r="CU80" s="93"/>
    </row>
    <row r="81" spans="2:99" s="103" customFormat="1" ht="14" thickBot="1">
      <c r="B81" s="149"/>
      <c r="C81" s="104"/>
      <c r="D81" s="104"/>
      <c r="E81" s="104"/>
      <c r="F81" s="119"/>
      <c r="G81" s="104"/>
      <c r="H81" s="104"/>
      <c r="I81" s="104"/>
      <c r="J81" s="104"/>
      <c r="K81" s="104"/>
      <c r="L81" s="104"/>
      <c r="M81" s="104"/>
      <c r="N81" s="108"/>
      <c r="O81" s="104"/>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3"/>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93"/>
      <c r="CE81" s="93"/>
      <c r="CF81" s="93"/>
      <c r="CG81" s="93"/>
      <c r="CH81" s="93"/>
      <c r="CI81" s="93"/>
      <c r="CJ81" s="93"/>
      <c r="CK81" s="93"/>
      <c r="CL81" s="93"/>
      <c r="CM81" s="93"/>
      <c r="CN81" s="93"/>
      <c r="CO81" s="93"/>
      <c r="CP81" s="93"/>
      <c r="CQ81" s="93"/>
      <c r="CR81" s="93"/>
      <c r="CS81" s="93"/>
      <c r="CT81" s="93"/>
      <c r="CU81" s="93"/>
    </row>
    <row r="82" spans="2:99" s="103" customFormat="1" ht="14" thickBot="1">
      <c r="B82" s="128" t="s">
        <v>98</v>
      </c>
      <c r="C82" s="129" t="s">
        <v>92</v>
      </c>
      <c r="D82" s="104"/>
      <c r="E82" s="104"/>
      <c r="F82" s="119"/>
      <c r="G82" s="104"/>
      <c r="H82" s="104"/>
      <c r="I82" s="104"/>
      <c r="J82" s="104"/>
      <c r="K82" s="104"/>
      <c r="L82" s="104"/>
      <c r="M82" s="104"/>
      <c r="N82" s="108"/>
      <c r="O82" s="104"/>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row>
    <row r="83" spans="2:99" s="103" customFormat="1">
      <c r="B83" s="144" t="s">
        <v>383</v>
      </c>
      <c r="C83" s="294" t="e">
        <f>SUMÁRIO!H73</f>
        <v>#DIV/0!</v>
      </c>
      <c r="D83" s="104"/>
      <c r="E83" s="104"/>
      <c r="F83" s="119"/>
      <c r="G83" s="104"/>
      <c r="H83" s="104"/>
      <c r="I83" s="104"/>
      <c r="J83" s="104"/>
      <c r="K83" s="104"/>
      <c r="L83" s="104"/>
      <c r="M83" s="104"/>
      <c r="N83" s="108"/>
      <c r="O83" s="104"/>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row>
    <row r="84" spans="2:99" s="103" customFormat="1">
      <c r="B84" s="144" t="s">
        <v>99</v>
      </c>
      <c r="C84" s="294" t="e">
        <f>SUMÁRIO!H74</f>
        <v>#DIV/0!</v>
      </c>
      <c r="D84" s="104"/>
      <c r="E84" s="104"/>
      <c r="F84" s="119"/>
      <c r="G84" s="104"/>
      <c r="H84" s="104"/>
      <c r="I84" s="104"/>
      <c r="J84" s="104"/>
      <c r="K84" s="104"/>
      <c r="L84" s="104"/>
      <c r="M84" s="104"/>
      <c r="N84" s="108"/>
      <c r="O84" s="104"/>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row>
    <row r="85" spans="2:99" s="103" customFormat="1">
      <c r="B85" s="144" t="s">
        <v>100</v>
      </c>
      <c r="C85" s="294" t="e">
        <f>SUMÁRIO!H75</f>
        <v>#DIV/0!</v>
      </c>
      <c r="D85" s="104"/>
      <c r="E85" s="104"/>
      <c r="F85" s="119"/>
      <c r="G85" s="104"/>
      <c r="H85" s="104"/>
      <c r="I85" s="104"/>
      <c r="J85" s="104"/>
      <c r="K85" s="104"/>
      <c r="L85" s="104"/>
      <c r="M85" s="104"/>
      <c r="N85" s="108"/>
      <c r="O85" s="104"/>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row>
    <row r="86" spans="2:99" s="103" customFormat="1">
      <c r="B86" s="144" t="s">
        <v>101</v>
      </c>
      <c r="C86" s="294" t="e">
        <f>SUMÁRIO!H76</f>
        <v>#DIV/0!</v>
      </c>
      <c r="D86" s="104"/>
      <c r="E86" s="104"/>
      <c r="F86" s="119"/>
      <c r="G86" s="104"/>
      <c r="H86" s="104"/>
      <c r="I86" s="104"/>
      <c r="J86" s="104"/>
      <c r="K86" s="104"/>
      <c r="L86" s="104"/>
      <c r="M86" s="104"/>
      <c r="N86" s="108"/>
      <c r="O86" s="104"/>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row>
    <row r="87" spans="2:99" s="103" customFormat="1" ht="14" thickBot="1">
      <c r="B87" s="150" t="s">
        <v>102</v>
      </c>
      <c r="C87" s="295" t="e">
        <f>SUMÁRIO!H77</f>
        <v>#DIV/0!</v>
      </c>
      <c r="D87" s="104"/>
      <c r="E87" s="104"/>
      <c r="F87" s="119"/>
      <c r="G87" s="104"/>
      <c r="H87" s="104"/>
      <c r="I87" s="104"/>
      <c r="J87" s="104"/>
      <c r="K87" s="104"/>
      <c r="L87" s="104"/>
      <c r="M87" s="104"/>
      <c r="N87" s="108"/>
      <c r="O87" s="104"/>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row>
    <row r="88" spans="2:99" s="103" customFormat="1">
      <c r="D88" s="104"/>
      <c r="E88" s="104"/>
      <c r="F88" s="119"/>
      <c r="G88" s="104"/>
      <c r="H88" s="104"/>
      <c r="I88" s="104"/>
      <c r="J88" s="104"/>
      <c r="K88" s="104"/>
      <c r="L88" s="104"/>
      <c r="M88" s="104"/>
      <c r="N88" s="108"/>
      <c r="O88" s="104"/>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row>
    <row r="89" spans="2:99" s="103" customFormat="1">
      <c r="D89" s="104"/>
      <c r="E89" s="104"/>
      <c r="F89" s="119"/>
      <c r="G89" s="104"/>
      <c r="H89" s="104"/>
      <c r="I89" s="104"/>
      <c r="J89" s="104"/>
      <c r="K89" s="104"/>
      <c r="L89" s="104"/>
      <c r="M89" s="104"/>
      <c r="N89" s="108"/>
      <c r="O89" s="104"/>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row>
    <row r="90" spans="2:99" s="103" customFormat="1">
      <c r="B90" s="149"/>
      <c r="C90" s="104"/>
      <c r="D90" s="104"/>
      <c r="E90" s="104"/>
      <c r="F90" s="119"/>
      <c r="G90" s="104"/>
      <c r="H90" s="104"/>
      <c r="I90" s="104"/>
      <c r="J90" s="104"/>
      <c r="K90" s="104"/>
      <c r="L90" s="104"/>
      <c r="M90" s="104"/>
      <c r="N90" s="108"/>
      <c r="O90" s="104"/>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c r="CS90" s="93"/>
      <c r="CT90" s="93"/>
      <c r="CU90" s="93"/>
    </row>
    <row r="91" spans="2:99" s="103" customFormat="1">
      <c r="B91" s="149"/>
      <c r="C91" s="104"/>
      <c r="D91" s="104"/>
      <c r="E91" s="104"/>
      <c r="F91" s="119"/>
      <c r="G91" s="104"/>
      <c r="H91" s="104"/>
      <c r="I91" s="104"/>
      <c r="J91" s="104"/>
      <c r="K91" s="104"/>
      <c r="L91" s="104"/>
      <c r="M91" s="104"/>
      <c r="N91" s="108"/>
      <c r="O91" s="104"/>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3"/>
      <c r="CA91" s="93"/>
      <c r="CB91" s="93"/>
      <c r="CC91" s="93"/>
      <c r="CD91" s="93"/>
      <c r="CE91" s="93"/>
      <c r="CF91" s="93"/>
      <c r="CG91" s="93"/>
      <c r="CH91" s="93"/>
      <c r="CI91" s="93"/>
      <c r="CJ91" s="93"/>
      <c r="CK91" s="93"/>
      <c r="CL91" s="93"/>
      <c r="CM91" s="93"/>
      <c r="CN91" s="93"/>
      <c r="CO91" s="93"/>
      <c r="CP91" s="93"/>
      <c r="CQ91" s="93"/>
      <c r="CR91" s="93"/>
      <c r="CS91" s="93"/>
      <c r="CT91" s="93"/>
      <c r="CU91" s="93"/>
    </row>
    <row r="92" spans="2:99" s="103" customFormat="1">
      <c r="B92" s="149"/>
      <c r="C92" s="104"/>
      <c r="D92" s="104"/>
      <c r="E92" s="104"/>
      <c r="F92" s="119"/>
      <c r="G92" s="104"/>
      <c r="H92" s="104"/>
      <c r="I92" s="104"/>
      <c r="J92" s="104"/>
      <c r="K92" s="104"/>
      <c r="L92" s="104"/>
      <c r="M92" s="104"/>
      <c r="N92" s="108"/>
      <c r="O92" s="104"/>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row>
    <row r="93" spans="2:99" s="103" customFormat="1">
      <c r="B93" s="149"/>
      <c r="C93" s="104"/>
      <c r="D93" s="104"/>
      <c r="E93" s="104"/>
      <c r="F93" s="119"/>
      <c r="G93" s="104"/>
      <c r="H93" s="104"/>
      <c r="I93" s="104"/>
      <c r="J93" s="104"/>
      <c r="K93" s="104"/>
      <c r="L93" s="104"/>
      <c r="M93" s="104"/>
      <c r="N93" s="108"/>
      <c r="O93" s="104"/>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row>
    <row r="94" spans="2:99" s="103" customFormat="1">
      <c r="B94" s="149"/>
      <c r="C94" s="104"/>
      <c r="D94" s="104"/>
      <c r="E94" s="104"/>
      <c r="F94" s="119"/>
      <c r="G94" s="104"/>
      <c r="H94" s="104"/>
      <c r="I94" s="104"/>
      <c r="J94" s="104"/>
      <c r="K94" s="104"/>
      <c r="L94" s="104"/>
      <c r="M94" s="104"/>
      <c r="N94" s="108"/>
      <c r="O94" s="104"/>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row>
    <row r="95" spans="2:99" s="103" customFormat="1">
      <c r="B95" s="149"/>
      <c r="C95" s="104"/>
      <c r="D95" s="104"/>
      <c r="E95" s="104"/>
      <c r="F95" s="119"/>
      <c r="G95" s="104"/>
      <c r="H95" s="104"/>
      <c r="I95" s="104"/>
      <c r="J95" s="104"/>
      <c r="K95" s="104"/>
      <c r="L95" s="104"/>
      <c r="M95" s="104"/>
      <c r="N95" s="108"/>
      <c r="O95" s="104"/>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row>
    <row r="96" spans="2:99" s="103" customFormat="1">
      <c r="B96" s="149"/>
      <c r="C96" s="104"/>
      <c r="D96" s="104"/>
      <c r="E96" s="104"/>
      <c r="F96" s="119"/>
      <c r="G96" s="104"/>
      <c r="H96" s="104"/>
      <c r="I96" s="104"/>
      <c r="J96" s="104"/>
      <c r="K96" s="104"/>
      <c r="L96" s="104"/>
      <c r="M96" s="104"/>
      <c r="N96" s="108"/>
      <c r="O96" s="104"/>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3"/>
      <c r="CB96" s="93"/>
      <c r="CC96" s="93"/>
      <c r="CD96" s="93"/>
      <c r="CE96" s="93"/>
      <c r="CF96" s="93"/>
      <c r="CG96" s="93"/>
      <c r="CH96" s="93"/>
      <c r="CI96" s="93"/>
      <c r="CJ96" s="93"/>
      <c r="CK96" s="93"/>
      <c r="CL96" s="93"/>
      <c r="CM96" s="93"/>
      <c r="CN96" s="93"/>
      <c r="CO96" s="93"/>
      <c r="CP96" s="93"/>
      <c r="CQ96" s="93"/>
      <c r="CR96" s="93"/>
      <c r="CS96" s="93"/>
      <c r="CT96" s="93"/>
      <c r="CU96" s="93"/>
    </row>
    <row r="97" spans="1:99" s="103" customFormat="1">
      <c r="B97" s="149"/>
      <c r="C97" s="104"/>
      <c r="D97" s="104"/>
      <c r="E97" s="104"/>
      <c r="F97" s="119"/>
      <c r="G97" s="104"/>
      <c r="H97" s="104"/>
      <c r="I97" s="104"/>
      <c r="J97" s="104"/>
      <c r="K97" s="104"/>
      <c r="L97" s="104"/>
      <c r="M97" s="104"/>
      <c r="N97" s="108"/>
      <c r="O97" s="104"/>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3"/>
      <c r="BO97" s="93"/>
      <c r="BP97" s="93"/>
      <c r="BQ97" s="93"/>
      <c r="BR97" s="93"/>
      <c r="BS97" s="93"/>
      <c r="BT97" s="93"/>
      <c r="BU97" s="93"/>
      <c r="BV97" s="93"/>
      <c r="BW97" s="93"/>
      <c r="BX97" s="93"/>
      <c r="BY97" s="93"/>
      <c r="BZ97" s="93"/>
      <c r="CA97" s="93"/>
      <c r="CB97" s="93"/>
      <c r="CC97" s="93"/>
      <c r="CD97" s="93"/>
      <c r="CE97" s="93"/>
      <c r="CF97" s="93"/>
      <c r="CG97" s="93"/>
      <c r="CH97" s="93"/>
      <c r="CI97" s="93"/>
      <c r="CJ97" s="93"/>
      <c r="CK97" s="93"/>
      <c r="CL97" s="93"/>
      <c r="CM97" s="93"/>
      <c r="CN97" s="93"/>
      <c r="CO97" s="93"/>
      <c r="CP97" s="93"/>
      <c r="CQ97" s="93"/>
      <c r="CR97" s="93"/>
      <c r="CS97" s="93"/>
      <c r="CT97" s="93"/>
      <c r="CU97" s="93"/>
    </row>
    <row r="98" spans="1:99" s="103" customFormat="1" ht="14" thickBot="1">
      <c r="B98" s="149"/>
      <c r="C98" s="104"/>
      <c r="D98" s="104"/>
      <c r="E98" s="104"/>
      <c r="F98" s="134"/>
      <c r="G98" s="135"/>
      <c r="H98" s="135"/>
      <c r="I98" s="135"/>
      <c r="J98" s="135"/>
      <c r="K98" s="135"/>
      <c r="L98" s="135"/>
      <c r="M98" s="135"/>
      <c r="N98" s="136"/>
      <c r="O98" s="104"/>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row>
    <row r="99" spans="1:99" s="103" customFormat="1">
      <c r="B99" s="149"/>
      <c r="C99" s="104"/>
      <c r="D99" s="104"/>
      <c r="E99" s="104"/>
      <c r="F99" s="104"/>
      <c r="G99" s="104"/>
      <c r="H99" s="104"/>
      <c r="I99" s="104"/>
      <c r="J99" s="104"/>
      <c r="K99" s="104"/>
      <c r="L99" s="104"/>
      <c r="M99" s="104"/>
      <c r="N99" s="104"/>
      <c r="O99" s="104"/>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row>
    <row r="100" spans="1:99" s="103" customFormat="1">
      <c r="B100" s="149"/>
      <c r="C100" s="104"/>
      <c r="D100" s="104"/>
      <c r="E100" s="104"/>
      <c r="F100" s="104"/>
      <c r="G100" s="104"/>
      <c r="H100" s="104"/>
      <c r="I100" s="104"/>
      <c r="J100" s="104"/>
      <c r="K100" s="104"/>
      <c r="L100" s="104"/>
      <c r="M100" s="104"/>
      <c r="N100" s="104"/>
      <c r="O100" s="104"/>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3"/>
      <c r="BK100" s="93"/>
      <c r="BL100" s="93"/>
      <c r="BM100" s="93"/>
      <c r="BN100" s="93"/>
      <c r="BO100" s="93"/>
      <c r="BP100" s="93"/>
      <c r="BQ100" s="93"/>
      <c r="BR100" s="93"/>
      <c r="BS100" s="93"/>
      <c r="BT100" s="93"/>
      <c r="BU100" s="93"/>
      <c r="BV100" s="93"/>
      <c r="BW100" s="93"/>
      <c r="BX100" s="93"/>
      <c r="BY100" s="93"/>
      <c r="BZ100" s="93"/>
      <c r="CA100" s="93"/>
      <c r="CB100" s="93"/>
      <c r="CC100" s="93"/>
      <c r="CD100" s="93"/>
      <c r="CE100" s="93"/>
      <c r="CF100" s="93"/>
      <c r="CG100" s="93"/>
      <c r="CH100" s="93"/>
      <c r="CI100" s="93"/>
      <c r="CJ100" s="93"/>
      <c r="CK100" s="93"/>
      <c r="CL100" s="93"/>
      <c r="CM100" s="93"/>
      <c r="CN100" s="93"/>
      <c r="CO100" s="93"/>
      <c r="CP100" s="93"/>
      <c r="CQ100" s="93"/>
      <c r="CR100" s="93"/>
      <c r="CS100" s="93"/>
      <c r="CT100" s="93"/>
      <c r="CU100" s="93"/>
    </row>
    <row r="101" spans="1:99" s="103" customFormat="1">
      <c r="B101" s="149"/>
      <c r="C101" s="104"/>
      <c r="D101" s="104"/>
      <c r="E101" s="104"/>
      <c r="O101" s="104"/>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row>
    <row r="102" spans="1:99" s="103" customFormat="1">
      <c r="B102" s="152"/>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row>
    <row r="103" spans="1:99" s="103" customFormat="1">
      <c r="B103" s="152"/>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row>
    <row r="104" spans="1:99">
      <c r="A104" s="103"/>
      <c r="B104" s="152"/>
      <c r="C104" s="103"/>
      <c r="D104" s="103"/>
    </row>
    <row r="105" spans="1:99">
      <c r="A105" s="103"/>
      <c r="B105" s="152"/>
      <c r="C105" s="103"/>
      <c r="D105" s="103"/>
    </row>
    <row r="106" spans="1:99">
      <c r="A106" s="103"/>
      <c r="B106" s="152"/>
      <c r="C106" s="103"/>
      <c r="D106" s="103"/>
    </row>
    <row r="107" spans="1:99">
      <c r="A107" s="103"/>
      <c r="B107" s="152"/>
      <c r="C107" s="103"/>
      <c r="D107" s="103"/>
    </row>
    <row r="108" spans="1:99">
      <c r="A108" s="103"/>
      <c r="B108" s="152"/>
      <c r="C108" s="103"/>
      <c r="D108" s="103"/>
    </row>
    <row r="109" spans="1:99">
      <c r="A109" s="103"/>
      <c r="B109" s="152"/>
      <c r="C109" s="103"/>
      <c r="D109" s="103"/>
    </row>
    <row r="110" spans="1:99">
      <c r="A110" s="103"/>
      <c r="B110" s="152"/>
      <c r="C110" s="103"/>
      <c r="D110" s="103"/>
    </row>
    <row r="111" spans="1:99">
      <c r="A111" s="103"/>
      <c r="B111" s="152"/>
      <c r="C111" s="103"/>
      <c r="D111" s="103"/>
    </row>
    <row r="112" spans="1:99">
      <c r="A112" s="103"/>
      <c r="B112" s="152"/>
      <c r="C112" s="103"/>
      <c r="D112" s="103"/>
    </row>
    <row r="113" spans="1:4">
      <c r="A113" s="103"/>
      <c r="B113" s="152"/>
      <c r="C113" s="103"/>
      <c r="D113" s="103"/>
    </row>
    <row r="114" spans="1:4">
      <c r="A114" s="103"/>
      <c r="B114" s="152"/>
      <c r="C114" s="103"/>
      <c r="D114" s="103"/>
    </row>
    <row r="115" spans="1:4">
      <c r="A115" s="103"/>
      <c r="B115" s="152"/>
      <c r="C115" s="103"/>
      <c r="D115" s="103"/>
    </row>
    <row r="116" spans="1:4">
      <c r="A116" s="103"/>
      <c r="B116" s="152"/>
      <c r="C116" s="103"/>
      <c r="D116" s="103"/>
    </row>
    <row r="117" spans="1:4">
      <c r="A117" s="103"/>
      <c r="B117" s="152"/>
      <c r="C117" s="103"/>
      <c r="D117" s="103"/>
    </row>
    <row r="118" spans="1:4">
      <c r="A118" s="103"/>
      <c r="B118" s="152"/>
      <c r="C118" s="103"/>
      <c r="D118" s="103"/>
    </row>
    <row r="119" spans="1:4">
      <c r="A119" s="103"/>
      <c r="B119" s="152"/>
      <c r="C119" s="103"/>
      <c r="D119" s="103"/>
    </row>
    <row r="120" spans="1:4">
      <c r="A120" s="103"/>
      <c r="B120" s="152"/>
      <c r="C120" s="103"/>
      <c r="D120" s="103"/>
    </row>
    <row r="121" spans="1:4">
      <c r="A121" s="103"/>
      <c r="B121" s="152"/>
      <c r="C121" s="103"/>
      <c r="D121" s="103"/>
    </row>
    <row r="122" spans="1:4">
      <c r="A122" s="103"/>
      <c r="B122" s="152"/>
      <c r="C122" s="103"/>
      <c r="D122" s="103"/>
    </row>
    <row r="123" spans="1:4">
      <c r="A123" s="103"/>
      <c r="B123" s="152"/>
      <c r="C123" s="103"/>
      <c r="D123" s="103"/>
    </row>
    <row r="124" spans="1:4">
      <c r="A124" s="103"/>
      <c r="B124" s="152"/>
      <c r="C124" s="103"/>
      <c r="D124" s="103"/>
    </row>
    <row r="125" spans="1:4">
      <c r="A125" s="103"/>
      <c r="B125" s="152"/>
      <c r="C125" s="103"/>
      <c r="D125" s="103"/>
    </row>
    <row r="126" spans="1:4">
      <c r="A126" s="103"/>
      <c r="B126" s="152"/>
      <c r="C126" s="103"/>
      <c r="D126" s="103"/>
    </row>
    <row r="127" spans="1:4">
      <c r="A127" s="103"/>
      <c r="B127" s="152"/>
      <c r="C127" s="103"/>
      <c r="D127" s="103"/>
    </row>
    <row r="128" spans="1:4">
      <c r="A128" s="103"/>
      <c r="B128" s="152"/>
      <c r="C128" s="103"/>
      <c r="D128" s="103"/>
    </row>
    <row r="129" spans="1:4">
      <c r="A129" s="103"/>
      <c r="B129" s="152"/>
      <c r="C129" s="103"/>
      <c r="D129" s="103"/>
    </row>
    <row r="130" spans="1:4">
      <c r="A130" s="103"/>
      <c r="B130" s="152"/>
      <c r="C130" s="103"/>
      <c r="D130" s="103"/>
    </row>
    <row r="131" spans="1:4">
      <c r="A131" s="103"/>
      <c r="B131" s="152"/>
      <c r="C131" s="103"/>
      <c r="D131" s="103"/>
    </row>
    <row r="132" spans="1:4">
      <c r="A132" s="103"/>
      <c r="B132" s="152"/>
      <c r="C132" s="103"/>
      <c r="D132" s="103"/>
    </row>
    <row r="133" spans="1:4">
      <c r="A133" s="103"/>
      <c r="B133" s="152"/>
      <c r="C133" s="103"/>
      <c r="D133" s="103"/>
    </row>
    <row r="134" spans="1:4">
      <c r="A134" s="103"/>
      <c r="B134" s="152"/>
      <c r="C134" s="103"/>
      <c r="D134" s="103"/>
    </row>
    <row r="135" spans="1:4">
      <c r="A135" s="103"/>
      <c r="B135" s="152"/>
      <c r="C135" s="103"/>
      <c r="D135" s="103"/>
    </row>
    <row r="136" spans="1:4">
      <c r="A136" s="103"/>
      <c r="B136" s="152"/>
      <c r="C136" s="103"/>
      <c r="D136" s="103"/>
    </row>
    <row r="137" spans="1:4">
      <c r="A137" s="103"/>
      <c r="B137" s="152"/>
      <c r="C137" s="103"/>
      <c r="D137" s="103"/>
    </row>
    <row r="138" spans="1:4">
      <c r="A138" s="103"/>
      <c r="B138" s="152"/>
      <c r="C138" s="103"/>
      <c r="D138" s="103"/>
    </row>
    <row r="139" spans="1:4">
      <c r="A139" s="103"/>
      <c r="B139" s="152"/>
      <c r="C139" s="103"/>
      <c r="D139" s="103"/>
    </row>
    <row r="140" spans="1:4">
      <c r="A140" s="103"/>
      <c r="B140" s="152"/>
      <c r="C140" s="103"/>
      <c r="D140" s="103"/>
    </row>
    <row r="141" spans="1:4">
      <c r="A141" s="103"/>
      <c r="B141" s="152"/>
      <c r="C141" s="103"/>
      <c r="D141" s="103"/>
    </row>
    <row r="142" spans="1:4">
      <c r="A142" s="103"/>
      <c r="B142" s="152"/>
      <c r="C142" s="103"/>
      <c r="D142" s="103"/>
    </row>
    <row r="143" spans="1:4">
      <c r="A143" s="103"/>
      <c r="B143" s="152"/>
      <c r="C143" s="103"/>
      <c r="D143" s="103"/>
    </row>
    <row r="144" spans="1:4">
      <c r="A144" s="103"/>
      <c r="B144" s="152"/>
      <c r="C144" s="103"/>
      <c r="D144" s="103"/>
    </row>
    <row r="145" spans="1:4">
      <c r="A145" s="103"/>
      <c r="B145" s="152"/>
      <c r="C145" s="103"/>
      <c r="D145" s="103"/>
    </row>
    <row r="146" spans="1:4">
      <c r="A146" s="103"/>
      <c r="B146" s="152"/>
      <c r="C146" s="103"/>
      <c r="D146" s="103"/>
    </row>
    <row r="147" spans="1:4">
      <c r="A147" s="103"/>
      <c r="B147" s="152"/>
      <c r="C147" s="103"/>
      <c r="D147" s="103"/>
    </row>
    <row r="148" spans="1:4">
      <c r="A148" s="103"/>
      <c r="B148" s="152"/>
      <c r="C148" s="103"/>
      <c r="D148" s="103"/>
    </row>
    <row r="149" spans="1:4">
      <c r="A149" s="103"/>
      <c r="B149" s="152"/>
      <c r="C149" s="103"/>
      <c r="D149" s="103"/>
    </row>
    <row r="150" spans="1:4">
      <c r="A150" s="103"/>
      <c r="B150" s="152"/>
      <c r="C150" s="103"/>
      <c r="D150" s="103"/>
    </row>
    <row r="151" spans="1:4">
      <c r="A151" s="103"/>
      <c r="B151" s="152"/>
      <c r="C151" s="103"/>
      <c r="D151" s="103"/>
    </row>
    <row r="152" spans="1:4">
      <c r="A152" s="103"/>
      <c r="B152" s="152"/>
      <c r="C152" s="103"/>
      <c r="D152" s="103"/>
    </row>
    <row r="153" spans="1:4">
      <c r="A153" s="103"/>
      <c r="B153" s="152"/>
      <c r="C153" s="103"/>
      <c r="D153" s="103"/>
    </row>
    <row r="154" spans="1:4">
      <c r="A154" s="103"/>
      <c r="B154" s="152"/>
      <c r="C154" s="103"/>
      <c r="D154" s="103"/>
    </row>
    <row r="155" spans="1:4">
      <c r="A155" s="103"/>
      <c r="B155" s="152"/>
      <c r="C155" s="103"/>
      <c r="D155" s="103"/>
    </row>
    <row r="156" spans="1:4">
      <c r="A156" s="103"/>
      <c r="B156" s="152"/>
      <c r="C156" s="103"/>
      <c r="D156" s="103"/>
    </row>
    <row r="157" spans="1:4">
      <c r="A157" s="103"/>
      <c r="B157" s="152"/>
      <c r="C157" s="103"/>
      <c r="D157" s="103"/>
    </row>
    <row r="158" spans="1:4">
      <c r="A158" s="103"/>
      <c r="B158" s="152"/>
      <c r="C158" s="103"/>
      <c r="D158" s="103"/>
    </row>
    <row r="159" spans="1:4">
      <c r="A159" s="103"/>
      <c r="B159" s="152"/>
      <c r="C159" s="103"/>
      <c r="D159" s="103"/>
    </row>
    <row r="160" spans="1:4">
      <c r="A160" s="103"/>
      <c r="B160" s="152"/>
      <c r="C160" s="103"/>
      <c r="D160" s="103"/>
    </row>
    <row r="161" spans="1:4">
      <c r="A161" s="103"/>
      <c r="B161" s="152"/>
      <c r="C161" s="103"/>
      <c r="D161" s="103"/>
    </row>
    <row r="162" spans="1:4">
      <c r="A162" s="103"/>
      <c r="B162" s="152"/>
      <c r="C162" s="103"/>
      <c r="D162" s="103"/>
    </row>
    <row r="163" spans="1:4">
      <c r="A163" s="103"/>
      <c r="B163" s="152"/>
      <c r="C163" s="103"/>
      <c r="D163" s="103"/>
    </row>
    <row r="164" spans="1:4">
      <c r="A164" s="103"/>
      <c r="B164" s="152"/>
      <c r="C164" s="103"/>
      <c r="D164" s="103"/>
    </row>
    <row r="165" spans="1:4">
      <c r="A165" s="103"/>
      <c r="B165" s="152"/>
      <c r="C165" s="103"/>
      <c r="D165" s="103"/>
    </row>
    <row r="166" spans="1:4">
      <c r="A166" s="103"/>
      <c r="B166" s="152"/>
      <c r="C166" s="103"/>
      <c r="D166" s="103"/>
    </row>
    <row r="167" spans="1:4">
      <c r="A167" s="103"/>
      <c r="B167" s="152"/>
      <c r="C167" s="103"/>
      <c r="D167" s="103"/>
    </row>
    <row r="168" spans="1:4">
      <c r="A168" s="103"/>
      <c r="B168" s="152"/>
      <c r="C168" s="103"/>
      <c r="D168" s="103"/>
    </row>
    <row r="169" spans="1:4">
      <c r="A169" s="103"/>
      <c r="B169" s="152"/>
      <c r="C169" s="103"/>
      <c r="D169" s="103"/>
    </row>
    <row r="170" spans="1:4">
      <c r="A170" s="103"/>
      <c r="B170" s="152"/>
      <c r="C170" s="103"/>
      <c r="D170" s="103"/>
    </row>
    <row r="171" spans="1:4">
      <c r="A171" s="103"/>
      <c r="B171" s="152"/>
      <c r="C171" s="103"/>
      <c r="D171" s="103"/>
    </row>
    <row r="172" spans="1:4">
      <c r="A172" s="103"/>
      <c r="B172" s="152"/>
      <c r="C172" s="103"/>
      <c r="D172" s="103"/>
    </row>
    <row r="173" spans="1:4">
      <c r="A173" s="103"/>
      <c r="B173" s="152"/>
      <c r="C173" s="103"/>
      <c r="D173" s="103"/>
    </row>
    <row r="174" spans="1:4">
      <c r="A174" s="103"/>
      <c r="B174" s="152"/>
      <c r="C174" s="103"/>
      <c r="D174" s="103"/>
    </row>
    <row r="175" spans="1:4">
      <c r="A175" s="103"/>
      <c r="B175" s="152"/>
      <c r="C175" s="103"/>
      <c r="D175" s="103"/>
    </row>
    <row r="176" spans="1:4">
      <c r="A176" s="103"/>
      <c r="B176" s="152"/>
      <c r="C176" s="103"/>
      <c r="D176" s="103"/>
    </row>
    <row r="177" spans="1:4">
      <c r="A177" s="103"/>
      <c r="B177" s="152"/>
      <c r="C177" s="103"/>
      <c r="D177" s="103"/>
    </row>
    <row r="178" spans="1:4">
      <c r="A178" s="103"/>
      <c r="B178" s="152"/>
      <c r="C178" s="103"/>
      <c r="D178" s="103"/>
    </row>
    <row r="179" spans="1:4">
      <c r="A179" s="103"/>
      <c r="B179" s="152"/>
      <c r="C179" s="103"/>
      <c r="D179" s="103"/>
    </row>
    <row r="180" spans="1:4">
      <c r="A180" s="103"/>
      <c r="B180" s="152"/>
      <c r="C180" s="103"/>
      <c r="D180" s="103"/>
    </row>
    <row r="181" spans="1:4">
      <c r="A181" s="103"/>
      <c r="B181" s="152"/>
      <c r="C181" s="103"/>
      <c r="D181" s="103"/>
    </row>
    <row r="182" spans="1:4">
      <c r="A182" s="103"/>
      <c r="B182" s="152"/>
      <c r="C182" s="103"/>
      <c r="D182" s="103"/>
    </row>
    <row r="183" spans="1:4">
      <c r="A183" s="103"/>
      <c r="B183" s="152"/>
      <c r="C183" s="103"/>
      <c r="D183" s="103"/>
    </row>
    <row r="184" spans="1:4">
      <c r="A184" s="103"/>
      <c r="B184" s="152"/>
      <c r="C184" s="103"/>
      <c r="D184" s="103"/>
    </row>
    <row r="185" spans="1:4">
      <c r="A185" s="103"/>
      <c r="B185" s="152"/>
      <c r="C185" s="103"/>
      <c r="D185" s="103"/>
    </row>
    <row r="186" spans="1:4">
      <c r="A186" s="103"/>
      <c r="B186" s="152"/>
      <c r="C186" s="103"/>
      <c r="D186" s="103"/>
    </row>
    <row r="187" spans="1:4">
      <c r="A187" s="103"/>
      <c r="B187" s="152"/>
      <c r="C187" s="103"/>
      <c r="D187" s="103"/>
    </row>
    <row r="188" spans="1:4">
      <c r="A188" s="103"/>
      <c r="B188" s="152"/>
      <c r="C188" s="103"/>
      <c r="D188" s="103"/>
    </row>
    <row r="189" spans="1:4">
      <c r="A189" s="103"/>
      <c r="B189" s="152"/>
      <c r="C189" s="103"/>
      <c r="D189" s="103"/>
    </row>
    <row r="190" spans="1:4">
      <c r="A190" s="103"/>
      <c r="B190" s="152"/>
      <c r="C190" s="103"/>
      <c r="D190" s="103"/>
    </row>
    <row r="191" spans="1:4">
      <c r="A191" s="103"/>
      <c r="B191" s="152"/>
      <c r="C191" s="103"/>
      <c r="D191" s="103"/>
    </row>
    <row r="192" spans="1:4">
      <c r="A192" s="103"/>
      <c r="B192" s="152"/>
      <c r="C192" s="103"/>
      <c r="D192" s="103"/>
    </row>
    <row r="193" spans="1:4">
      <c r="A193" s="103"/>
      <c r="B193" s="152"/>
      <c r="C193" s="103"/>
      <c r="D193" s="103"/>
    </row>
    <row r="194" spans="1:4">
      <c r="A194" s="103"/>
      <c r="B194" s="152"/>
      <c r="C194" s="103"/>
      <c r="D194" s="103"/>
    </row>
    <row r="195" spans="1:4">
      <c r="A195" s="103"/>
      <c r="B195" s="152"/>
      <c r="C195" s="103"/>
      <c r="D195" s="103"/>
    </row>
    <row r="196" spans="1:4">
      <c r="A196" s="103"/>
      <c r="B196" s="152"/>
      <c r="C196" s="103"/>
      <c r="D196" s="103"/>
    </row>
    <row r="197" spans="1:4">
      <c r="A197" s="103"/>
      <c r="B197" s="152"/>
      <c r="C197" s="103"/>
      <c r="D197" s="103"/>
    </row>
    <row r="198" spans="1:4">
      <c r="A198" s="103"/>
      <c r="B198" s="152"/>
      <c r="C198" s="103"/>
      <c r="D198" s="103"/>
    </row>
    <row r="199" spans="1:4">
      <c r="A199" s="103"/>
      <c r="B199" s="152"/>
      <c r="C199" s="103"/>
      <c r="D199" s="103"/>
    </row>
    <row r="200" spans="1:4">
      <c r="A200" s="103"/>
      <c r="B200" s="152"/>
      <c r="C200" s="103"/>
      <c r="D200" s="103"/>
    </row>
    <row r="201" spans="1:4">
      <c r="A201" s="103"/>
      <c r="B201" s="152"/>
      <c r="C201" s="103"/>
      <c r="D201" s="103"/>
    </row>
    <row r="202" spans="1:4">
      <c r="A202" s="103"/>
      <c r="B202" s="152"/>
      <c r="C202" s="103"/>
      <c r="D202" s="103"/>
    </row>
    <row r="203" spans="1:4">
      <c r="A203" s="103"/>
      <c r="B203" s="152"/>
      <c r="C203" s="103"/>
      <c r="D203" s="103"/>
    </row>
    <row r="204" spans="1:4">
      <c r="A204" s="103"/>
      <c r="B204" s="152"/>
      <c r="C204" s="103"/>
      <c r="D204" s="103"/>
    </row>
    <row r="205" spans="1:4">
      <c r="A205" s="103"/>
      <c r="B205" s="152"/>
      <c r="C205" s="103"/>
      <c r="D205" s="103"/>
    </row>
    <row r="206" spans="1:4">
      <c r="A206" s="103"/>
      <c r="B206" s="152"/>
      <c r="C206" s="103"/>
      <c r="D206" s="103"/>
    </row>
    <row r="207" spans="1:4">
      <c r="A207" s="103"/>
      <c r="B207" s="152"/>
      <c r="C207" s="103"/>
      <c r="D207" s="103"/>
    </row>
    <row r="208" spans="1:4">
      <c r="A208" s="103"/>
      <c r="B208" s="152"/>
      <c r="C208" s="103"/>
      <c r="D208" s="103"/>
    </row>
    <row r="209" spans="1:4">
      <c r="A209" s="103"/>
      <c r="B209" s="152"/>
      <c r="C209" s="103"/>
      <c r="D209" s="103"/>
    </row>
    <row r="210" spans="1:4">
      <c r="A210" s="103"/>
      <c r="B210" s="152"/>
      <c r="C210" s="103"/>
      <c r="D210" s="103"/>
    </row>
    <row r="211" spans="1:4">
      <c r="A211" s="103"/>
      <c r="B211" s="152"/>
      <c r="C211" s="103"/>
      <c r="D211" s="103"/>
    </row>
    <row r="212" spans="1:4">
      <c r="A212" s="103"/>
      <c r="B212" s="152"/>
      <c r="C212" s="103"/>
      <c r="D212" s="103"/>
    </row>
    <row r="213" spans="1:4">
      <c r="A213" s="103"/>
      <c r="B213" s="152"/>
      <c r="C213" s="103"/>
      <c r="D213" s="103"/>
    </row>
    <row r="214" spans="1:4">
      <c r="A214" s="103"/>
      <c r="B214" s="152"/>
      <c r="C214" s="103"/>
      <c r="D214" s="103"/>
    </row>
    <row r="215" spans="1:4">
      <c r="A215" s="103"/>
      <c r="B215" s="152"/>
      <c r="C215" s="103"/>
      <c r="D215" s="103"/>
    </row>
    <row r="216" spans="1:4">
      <c r="A216" s="103"/>
      <c r="B216" s="152"/>
      <c r="C216" s="103"/>
      <c r="D216" s="103"/>
    </row>
    <row r="217" spans="1:4">
      <c r="A217" s="103"/>
      <c r="B217" s="152"/>
      <c r="C217" s="103"/>
      <c r="D217" s="103"/>
    </row>
    <row r="218" spans="1:4">
      <c r="A218" s="103"/>
      <c r="B218" s="152"/>
      <c r="C218" s="103"/>
      <c r="D218" s="103"/>
    </row>
    <row r="219" spans="1:4">
      <c r="A219" s="103"/>
      <c r="B219" s="152"/>
      <c r="C219" s="103"/>
      <c r="D219" s="103"/>
    </row>
    <row r="220" spans="1:4">
      <c r="A220" s="103"/>
      <c r="B220" s="152"/>
      <c r="C220" s="103"/>
      <c r="D220" s="103"/>
    </row>
    <row r="221" spans="1:4">
      <c r="A221" s="103"/>
      <c r="B221" s="152"/>
      <c r="C221" s="103"/>
      <c r="D221" s="103"/>
    </row>
    <row r="222" spans="1:4">
      <c r="A222" s="103"/>
      <c r="B222" s="152"/>
      <c r="C222" s="103"/>
      <c r="D222" s="103"/>
    </row>
    <row r="223" spans="1:4">
      <c r="A223" s="103"/>
      <c r="B223" s="152"/>
      <c r="C223" s="103"/>
      <c r="D223" s="103"/>
    </row>
    <row r="224" spans="1:4">
      <c r="A224" s="103"/>
      <c r="B224" s="152"/>
      <c r="C224" s="103"/>
      <c r="D224" s="103"/>
    </row>
    <row r="225" spans="1:4">
      <c r="A225" s="103"/>
      <c r="B225" s="152"/>
      <c r="C225" s="103"/>
      <c r="D225" s="103"/>
    </row>
    <row r="226" spans="1:4">
      <c r="A226" s="103"/>
      <c r="B226" s="152"/>
      <c r="C226" s="103"/>
      <c r="D226" s="103"/>
    </row>
    <row r="227" spans="1:4">
      <c r="A227" s="103"/>
      <c r="B227" s="152"/>
      <c r="C227" s="103"/>
      <c r="D227" s="103"/>
    </row>
    <row r="228" spans="1:4">
      <c r="A228" s="103"/>
      <c r="B228" s="152"/>
      <c r="C228" s="103"/>
      <c r="D228" s="103"/>
    </row>
    <row r="229" spans="1:4">
      <c r="A229" s="103"/>
      <c r="B229" s="152"/>
      <c r="C229" s="103"/>
      <c r="D229" s="103"/>
    </row>
    <row r="230" spans="1:4">
      <c r="A230" s="103"/>
      <c r="B230" s="152"/>
      <c r="C230" s="103"/>
      <c r="D230" s="103"/>
    </row>
    <row r="231" spans="1:4">
      <c r="A231" s="103"/>
      <c r="B231" s="152"/>
      <c r="C231" s="103"/>
      <c r="D231" s="103"/>
    </row>
    <row r="232" spans="1:4">
      <c r="A232" s="103"/>
      <c r="B232" s="152"/>
      <c r="C232" s="103"/>
      <c r="D232" s="103"/>
    </row>
    <row r="233" spans="1:4">
      <c r="A233" s="103"/>
      <c r="B233" s="152"/>
      <c r="C233" s="103"/>
      <c r="D233" s="103"/>
    </row>
    <row r="234" spans="1:4">
      <c r="A234" s="103"/>
      <c r="B234" s="152"/>
      <c r="C234" s="103"/>
      <c r="D234" s="103"/>
    </row>
    <row r="235" spans="1:4">
      <c r="A235" s="103"/>
      <c r="B235" s="152"/>
      <c r="C235" s="103"/>
      <c r="D235" s="103"/>
    </row>
    <row r="236" spans="1:4">
      <c r="A236" s="103"/>
      <c r="B236" s="152"/>
      <c r="C236" s="103"/>
      <c r="D236" s="103"/>
    </row>
    <row r="237" spans="1:4">
      <c r="A237" s="103"/>
      <c r="B237" s="152"/>
      <c r="C237" s="103"/>
      <c r="D237" s="103"/>
    </row>
    <row r="238" spans="1:4">
      <c r="A238" s="103"/>
      <c r="B238" s="152"/>
      <c r="C238" s="103"/>
      <c r="D238" s="103"/>
    </row>
    <row r="239" spans="1:4">
      <c r="A239" s="103"/>
      <c r="B239" s="152"/>
      <c r="C239" s="103"/>
      <c r="D239" s="103"/>
    </row>
    <row r="240" spans="1:4">
      <c r="A240" s="103"/>
      <c r="B240" s="152"/>
      <c r="C240" s="103"/>
      <c r="D240" s="103"/>
    </row>
    <row r="241" spans="1:4">
      <c r="A241" s="103"/>
      <c r="B241" s="152"/>
      <c r="C241" s="103"/>
      <c r="D241" s="103"/>
    </row>
    <row r="242" spans="1:4">
      <c r="A242" s="103"/>
      <c r="B242" s="152"/>
      <c r="C242" s="103"/>
      <c r="D242" s="103"/>
    </row>
    <row r="243" spans="1:4">
      <c r="A243" s="103"/>
      <c r="B243" s="152"/>
      <c r="C243" s="103"/>
      <c r="D243" s="103"/>
    </row>
    <row r="244" spans="1:4">
      <c r="A244" s="103"/>
      <c r="B244" s="152"/>
      <c r="C244" s="103"/>
      <c r="D244" s="103"/>
    </row>
    <row r="245" spans="1:4">
      <c r="A245" s="103"/>
      <c r="B245" s="152"/>
      <c r="C245" s="103"/>
      <c r="D245" s="103"/>
    </row>
    <row r="246" spans="1:4">
      <c r="A246" s="103"/>
      <c r="B246" s="152"/>
      <c r="C246" s="103"/>
      <c r="D246" s="103"/>
    </row>
    <row r="247" spans="1:4">
      <c r="A247" s="103"/>
      <c r="B247" s="152"/>
      <c r="C247" s="103"/>
      <c r="D247" s="103"/>
    </row>
    <row r="248" spans="1:4">
      <c r="A248" s="103"/>
      <c r="B248" s="152"/>
      <c r="C248" s="103"/>
      <c r="D248" s="103"/>
    </row>
    <row r="249" spans="1:4">
      <c r="A249" s="103"/>
      <c r="B249" s="152"/>
      <c r="C249" s="103"/>
      <c r="D249" s="103"/>
    </row>
    <row r="250" spans="1:4">
      <c r="A250" s="103"/>
      <c r="B250" s="152"/>
      <c r="C250" s="103"/>
      <c r="D250" s="103"/>
    </row>
    <row r="251" spans="1:4">
      <c r="A251" s="103"/>
      <c r="B251" s="152"/>
      <c r="C251" s="103"/>
      <c r="D251" s="103"/>
    </row>
    <row r="252" spans="1:4">
      <c r="A252" s="103"/>
      <c r="B252" s="152"/>
      <c r="C252" s="103"/>
      <c r="D252" s="103"/>
    </row>
    <row r="253" spans="1:4">
      <c r="A253" s="103"/>
      <c r="B253" s="152"/>
      <c r="C253" s="103"/>
      <c r="D253" s="103"/>
    </row>
    <row r="254" spans="1:4">
      <c r="A254" s="103"/>
      <c r="B254" s="152"/>
      <c r="C254" s="103"/>
      <c r="D254" s="103"/>
    </row>
    <row r="255" spans="1:4">
      <c r="A255" s="103"/>
      <c r="B255" s="152"/>
      <c r="C255" s="103"/>
      <c r="D255" s="103"/>
    </row>
    <row r="256" spans="1:4">
      <c r="A256" s="103"/>
      <c r="B256" s="152"/>
      <c r="C256" s="103"/>
      <c r="D256" s="103"/>
    </row>
    <row r="257" spans="1:4">
      <c r="A257" s="103"/>
      <c r="B257" s="152"/>
      <c r="C257" s="103"/>
      <c r="D257" s="103"/>
    </row>
    <row r="258" spans="1:4">
      <c r="A258" s="103"/>
      <c r="B258" s="152"/>
      <c r="C258" s="103"/>
      <c r="D258" s="103"/>
    </row>
    <row r="259" spans="1:4">
      <c r="A259" s="103"/>
      <c r="B259" s="152"/>
      <c r="C259" s="103"/>
      <c r="D259" s="103"/>
    </row>
    <row r="260" spans="1:4">
      <c r="A260" s="103"/>
      <c r="B260" s="152"/>
      <c r="C260" s="103"/>
      <c r="D260" s="103"/>
    </row>
    <row r="261" spans="1:4">
      <c r="A261" s="103"/>
      <c r="B261" s="152"/>
      <c r="C261" s="103"/>
      <c r="D261" s="103"/>
    </row>
    <row r="262" spans="1:4">
      <c r="A262" s="103"/>
      <c r="B262" s="152"/>
      <c r="C262" s="103"/>
      <c r="D262" s="103"/>
    </row>
    <row r="263" spans="1:4">
      <c r="A263" s="103"/>
      <c r="B263" s="152"/>
      <c r="C263" s="103"/>
      <c r="D263" s="103"/>
    </row>
    <row r="264" spans="1:4">
      <c r="A264" s="103"/>
      <c r="B264" s="152"/>
      <c r="C264" s="103"/>
      <c r="D264" s="103"/>
    </row>
    <row r="265" spans="1:4">
      <c r="A265" s="103"/>
      <c r="B265" s="152"/>
      <c r="C265" s="103"/>
      <c r="D265" s="103"/>
    </row>
    <row r="266" spans="1:4">
      <c r="A266" s="103"/>
      <c r="B266" s="152"/>
      <c r="C266" s="103"/>
      <c r="D266" s="103"/>
    </row>
    <row r="267" spans="1:4">
      <c r="A267" s="103"/>
      <c r="B267" s="152"/>
      <c r="C267" s="103"/>
      <c r="D267" s="103"/>
    </row>
    <row r="268" spans="1:4">
      <c r="A268" s="103"/>
      <c r="B268" s="152"/>
      <c r="C268" s="103"/>
      <c r="D268" s="103"/>
    </row>
    <row r="269" spans="1:4">
      <c r="A269" s="103"/>
      <c r="B269" s="152"/>
      <c r="C269" s="103"/>
      <c r="D269" s="103"/>
    </row>
    <row r="270" spans="1:4">
      <c r="A270" s="103"/>
      <c r="B270" s="152"/>
      <c r="C270" s="103"/>
      <c r="D270" s="103"/>
    </row>
    <row r="271" spans="1:4">
      <c r="A271" s="103"/>
      <c r="B271" s="152"/>
      <c r="C271" s="103"/>
      <c r="D271" s="103"/>
    </row>
    <row r="272" spans="1:4">
      <c r="A272" s="103"/>
      <c r="B272" s="152"/>
      <c r="C272" s="103"/>
      <c r="D272" s="103"/>
    </row>
    <row r="273" spans="1:4">
      <c r="A273" s="103"/>
      <c r="B273" s="152"/>
      <c r="C273" s="103"/>
      <c r="D273" s="103"/>
    </row>
    <row r="274" spans="1:4">
      <c r="A274" s="103"/>
      <c r="B274" s="152"/>
      <c r="C274" s="103"/>
      <c r="D274" s="103"/>
    </row>
    <row r="275" spans="1:4">
      <c r="A275" s="103"/>
      <c r="B275" s="152"/>
      <c r="C275" s="103"/>
      <c r="D275" s="103"/>
    </row>
    <row r="276" spans="1:4">
      <c r="A276" s="103"/>
      <c r="B276" s="152"/>
      <c r="C276" s="103"/>
      <c r="D276" s="103"/>
    </row>
    <row r="277" spans="1:4">
      <c r="A277" s="103"/>
      <c r="B277" s="152"/>
      <c r="C277" s="103"/>
      <c r="D277" s="103"/>
    </row>
    <row r="278" spans="1:4">
      <c r="A278" s="103"/>
      <c r="B278" s="152"/>
      <c r="C278" s="103"/>
      <c r="D278" s="103"/>
    </row>
    <row r="279" spans="1:4">
      <c r="A279" s="103"/>
      <c r="B279" s="152"/>
      <c r="C279" s="103"/>
      <c r="D279" s="103"/>
    </row>
    <row r="280" spans="1:4">
      <c r="A280" s="103"/>
      <c r="B280" s="152"/>
      <c r="C280" s="103"/>
      <c r="D280" s="103"/>
    </row>
    <row r="281" spans="1:4">
      <c r="A281" s="103"/>
      <c r="B281" s="152"/>
      <c r="C281" s="103"/>
      <c r="D281" s="103"/>
    </row>
    <row r="282" spans="1:4">
      <c r="A282" s="103"/>
      <c r="B282" s="152"/>
      <c r="C282" s="103"/>
      <c r="D282" s="103"/>
    </row>
    <row r="283" spans="1:4">
      <c r="A283" s="103"/>
      <c r="B283" s="152"/>
      <c r="C283" s="103"/>
      <c r="D283" s="103"/>
    </row>
    <row r="284" spans="1:4">
      <c r="A284" s="103"/>
      <c r="B284" s="152"/>
      <c r="C284" s="103"/>
      <c r="D284" s="103"/>
    </row>
    <row r="285" spans="1:4">
      <c r="A285" s="103"/>
      <c r="B285" s="152"/>
      <c r="C285" s="103"/>
      <c r="D285" s="103"/>
    </row>
    <row r="286" spans="1:4">
      <c r="A286" s="103"/>
      <c r="B286" s="152"/>
      <c r="C286" s="103"/>
      <c r="D286" s="103"/>
    </row>
    <row r="287" spans="1:4">
      <c r="A287" s="103"/>
      <c r="B287" s="152"/>
      <c r="C287" s="103"/>
      <c r="D287" s="103"/>
    </row>
    <row r="288" spans="1:4">
      <c r="A288" s="103"/>
      <c r="B288" s="152"/>
      <c r="C288" s="103"/>
      <c r="D288" s="103"/>
    </row>
    <row r="289" spans="1:4">
      <c r="A289" s="103"/>
      <c r="B289" s="152"/>
      <c r="C289" s="103"/>
      <c r="D289" s="103"/>
    </row>
    <row r="290" spans="1:4">
      <c r="A290" s="103"/>
      <c r="B290" s="152"/>
      <c r="C290" s="103"/>
      <c r="D290" s="103"/>
    </row>
    <row r="291" spans="1:4">
      <c r="A291" s="103"/>
      <c r="B291" s="152"/>
      <c r="C291" s="103"/>
      <c r="D291" s="103"/>
    </row>
    <row r="292" spans="1:4">
      <c r="A292" s="103"/>
      <c r="B292" s="152"/>
      <c r="C292" s="103"/>
      <c r="D292" s="103"/>
    </row>
    <row r="293" spans="1:4">
      <c r="A293" s="103"/>
      <c r="B293" s="152"/>
      <c r="C293" s="103"/>
      <c r="D293" s="103"/>
    </row>
    <row r="294" spans="1:4">
      <c r="A294" s="103"/>
      <c r="B294" s="152"/>
      <c r="C294" s="103"/>
      <c r="D294" s="103"/>
    </row>
    <row r="295" spans="1:4">
      <c r="A295" s="103"/>
      <c r="B295" s="152"/>
      <c r="C295" s="103"/>
      <c r="D295" s="103"/>
    </row>
    <row r="296" spans="1:4">
      <c r="A296" s="103"/>
      <c r="B296" s="152"/>
      <c r="C296" s="103"/>
      <c r="D296" s="103"/>
    </row>
    <row r="297" spans="1:4">
      <c r="A297" s="103"/>
      <c r="B297" s="152"/>
      <c r="C297" s="103"/>
      <c r="D297" s="103"/>
    </row>
    <row r="298" spans="1:4">
      <c r="A298" s="103"/>
      <c r="B298" s="152"/>
      <c r="C298" s="103"/>
      <c r="D298" s="103"/>
    </row>
    <row r="299" spans="1:4">
      <c r="A299" s="103"/>
      <c r="B299" s="152"/>
      <c r="C299" s="103"/>
      <c r="D299" s="103"/>
    </row>
    <row r="300" spans="1:4">
      <c r="A300" s="103"/>
      <c r="B300" s="152"/>
      <c r="C300" s="103"/>
      <c r="D300" s="103"/>
    </row>
    <row r="301" spans="1:4">
      <c r="A301" s="103"/>
      <c r="B301" s="152"/>
      <c r="C301" s="103"/>
      <c r="D301" s="103"/>
    </row>
    <row r="302" spans="1:4">
      <c r="A302" s="103"/>
      <c r="B302" s="152"/>
      <c r="C302" s="103"/>
      <c r="D302" s="103"/>
    </row>
    <row r="303" spans="1:4">
      <c r="A303" s="103"/>
      <c r="B303" s="152"/>
      <c r="C303" s="103"/>
      <c r="D303" s="103"/>
    </row>
    <row r="304" spans="1:4">
      <c r="A304" s="103"/>
      <c r="B304" s="152"/>
      <c r="C304" s="103"/>
      <c r="D304" s="103"/>
    </row>
    <row r="305" spans="1:4">
      <c r="A305" s="103"/>
      <c r="B305" s="152"/>
      <c r="C305" s="103"/>
      <c r="D305" s="103"/>
    </row>
    <row r="306" spans="1:4">
      <c r="A306" s="103"/>
      <c r="B306" s="152"/>
      <c r="C306" s="103"/>
      <c r="D306" s="103"/>
    </row>
    <row r="307" spans="1:4">
      <c r="A307" s="103"/>
      <c r="B307" s="152"/>
      <c r="C307" s="103"/>
      <c r="D307" s="103"/>
    </row>
    <row r="308" spans="1:4">
      <c r="A308" s="103"/>
      <c r="B308" s="152"/>
      <c r="C308" s="103"/>
      <c r="D308" s="103"/>
    </row>
    <row r="309" spans="1:4">
      <c r="A309" s="103"/>
      <c r="B309" s="152"/>
      <c r="C309" s="103"/>
      <c r="D309" s="103"/>
    </row>
    <row r="310" spans="1:4">
      <c r="A310" s="103"/>
      <c r="B310" s="152"/>
      <c r="C310" s="103"/>
      <c r="D310" s="103"/>
    </row>
    <row r="311" spans="1:4">
      <c r="A311" s="103"/>
      <c r="B311" s="152"/>
      <c r="C311" s="103"/>
      <c r="D311" s="103"/>
    </row>
    <row r="312" spans="1:4">
      <c r="A312" s="103"/>
      <c r="B312" s="152"/>
      <c r="C312" s="103"/>
      <c r="D312" s="103"/>
    </row>
    <row r="313" spans="1:4">
      <c r="A313" s="103"/>
      <c r="B313" s="152"/>
      <c r="C313" s="103"/>
      <c r="D313" s="103"/>
    </row>
    <row r="314" spans="1:4">
      <c r="A314" s="103"/>
      <c r="B314" s="152"/>
      <c r="C314" s="103"/>
      <c r="D314" s="103"/>
    </row>
    <row r="315" spans="1:4">
      <c r="A315" s="103"/>
      <c r="B315" s="152"/>
      <c r="C315" s="103"/>
      <c r="D315" s="103"/>
    </row>
    <row r="316" spans="1:4">
      <c r="A316" s="103"/>
      <c r="B316" s="152"/>
      <c r="C316" s="103"/>
      <c r="D316" s="103"/>
    </row>
    <row r="317" spans="1:4">
      <c r="A317" s="103"/>
      <c r="B317" s="152"/>
      <c r="C317" s="103"/>
      <c r="D317" s="103"/>
    </row>
    <row r="318" spans="1:4">
      <c r="A318" s="103"/>
      <c r="B318" s="152"/>
      <c r="C318" s="103"/>
      <c r="D318" s="103"/>
    </row>
    <row r="319" spans="1:4">
      <c r="A319" s="103"/>
      <c r="B319" s="152"/>
      <c r="C319" s="103"/>
      <c r="D319" s="103"/>
    </row>
    <row r="320" spans="1:4">
      <c r="A320" s="103"/>
      <c r="B320" s="152"/>
      <c r="C320" s="103"/>
      <c r="D320" s="103"/>
    </row>
    <row r="321" spans="1:4">
      <c r="A321" s="103"/>
      <c r="B321" s="152"/>
      <c r="C321" s="103"/>
      <c r="D321" s="103"/>
    </row>
    <row r="322" spans="1:4">
      <c r="A322" s="103"/>
      <c r="B322" s="152"/>
      <c r="C322" s="103"/>
      <c r="D322" s="103"/>
    </row>
    <row r="323" spans="1:4">
      <c r="A323" s="103"/>
      <c r="B323" s="152"/>
      <c r="C323" s="103"/>
      <c r="D323" s="103"/>
    </row>
    <row r="324" spans="1:4">
      <c r="A324" s="103"/>
      <c r="B324" s="152"/>
      <c r="C324" s="103"/>
      <c r="D324" s="103"/>
    </row>
    <row r="325" spans="1:4">
      <c r="A325" s="103"/>
      <c r="B325" s="152"/>
      <c r="C325" s="103"/>
      <c r="D325" s="103"/>
    </row>
    <row r="326" spans="1:4">
      <c r="A326" s="103"/>
      <c r="B326" s="152"/>
      <c r="C326" s="103"/>
      <c r="D326" s="103"/>
    </row>
    <row r="327" spans="1:4">
      <c r="A327" s="103"/>
      <c r="B327" s="152"/>
      <c r="C327" s="103"/>
      <c r="D327" s="103"/>
    </row>
    <row r="328" spans="1:4">
      <c r="A328" s="103"/>
      <c r="B328" s="152"/>
      <c r="C328" s="103"/>
      <c r="D328" s="103"/>
    </row>
    <row r="329" spans="1:4">
      <c r="A329" s="103"/>
      <c r="B329" s="152"/>
      <c r="C329" s="103"/>
      <c r="D329" s="103"/>
    </row>
    <row r="330" spans="1:4">
      <c r="A330" s="103"/>
      <c r="B330" s="152"/>
      <c r="C330" s="103"/>
      <c r="D330" s="103"/>
    </row>
    <row r="331" spans="1:4">
      <c r="A331" s="103"/>
      <c r="B331" s="152"/>
      <c r="C331" s="103"/>
      <c r="D331" s="103"/>
    </row>
    <row r="332" spans="1:4">
      <c r="A332" s="103"/>
      <c r="B332" s="152"/>
      <c r="C332" s="103"/>
      <c r="D332" s="103"/>
    </row>
    <row r="333" spans="1:4">
      <c r="A333" s="103"/>
      <c r="B333" s="152"/>
      <c r="C333" s="103"/>
      <c r="D333" s="103"/>
    </row>
    <row r="334" spans="1:4">
      <c r="A334" s="103"/>
      <c r="B334" s="152"/>
      <c r="C334" s="103"/>
      <c r="D334" s="103"/>
    </row>
    <row r="335" spans="1:4">
      <c r="A335" s="103"/>
      <c r="B335" s="152"/>
      <c r="C335" s="103"/>
      <c r="D335" s="103"/>
    </row>
    <row r="336" spans="1:4">
      <c r="A336" s="103"/>
      <c r="B336" s="152"/>
      <c r="C336" s="103"/>
      <c r="D336" s="103"/>
    </row>
    <row r="337" spans="1:4">
      <c r="A337" s="103"/>
      <c r="B337" s="152"/>
      <c r="C337" s="103"/>
      <c r="D337" s="103"/>
    </row>
    <row r="338" spans="1:4">
      <c r="A338" s="103"/>
      <c r="B338" s="152"/>
      <c r="C338" s="103"/>
      <c r="D338" s="103"/>
    </row>
    <row r="339" spans="1:4">
      <c r="A339" s="103"/>
      <c r="B339" s="152"/>
      <c r="C339" s="103"/>
      <c r="D339" s="103"/>
    </row>
    <row r="340" spans="1:4">
      <c r="A340" s="103"/>
      <c r="B340" s="152"/>
      <c r="C340" s="103"/>
      <c r="D340" s="103"/>
    </row>
    <row r="341" spans="1:4">
      <c r="A341" s="103"/>
      <c r="B341" s="152"/>
      <c r="C341" s="103"/>
      <c r="D341" s="103"/>
    </row>
    <row r="342" spans="1:4">
      <c r="A342" s="103"/>
      <c r="B342" s="152"/>
      <c r="C342" s="103"/>
      <c r="D342" s="103"/>
    </row>
    <row r="343" spans="1:4">
      <c r="A343" s="103"/>
      <c r="B343" s="152"/>
      <c r="C343" s="103"/>
      <c r="D343" s="103"/>
    </row>
    <row r="344" spans="1:4">
      <c r="A344" s="103"/>
      <c r="B344" s="152"/>
      <c r="C344" s="103"/>
      <c r="D344" s="103"/>
    </row>
    <row r="345" spans="1:4">
      <c r="A345" s="103"/>
      <c r="B345" s="152"/>
      <c r="C345" s="103"/>
      <c r="D345" s="103"/>
    </row>
    <row r="346" spans="1:4">
      <c r="A346" s="103"/>
      <c r="B346" s="152"/>
      <c r="C346" s="103"/>
      <c r="D346" s="103"/>
    </row>
    <row r="347" spans="1:4">
      <c r="A347" s="103"/>
      <c r="B347" s="152"/>
      <c r="C347" s="103"/>
      <c r="D347" s="103"/>
    </row>
    <row r="348" spans="1:4">
      <c r="A348" s="103"/>
      <c r="B348" s="152"/>
      <c r="C348" s="103"/>
      <c r="D348" s="103"/>
    </row>
    <row r="349" spans="1:4">
      <c r="A349" s="103"/>
      <c r="B349" s="152"/>
      <c r="C349" s="103"/>
      <c r="D349" s="103"/>
    </row>
    <row r="350" spans="1:4">
      <c r="A350" s="103"/>
      <c r="B350" s="152"/>
      <c r="C350" s="103"/>
      <c r="D350" s="103"/>
    </row>
    <row r="351" spans="1:4">
      <c r="A351" s="103"/>
      <c r="B351" s="152"/>
      <c r="C351" s="103"/>
      <c r="D351" s="103"/>
    </row>
    <row r="352" spans="1:4">
      <c r="A352" s="103"/>
      <c r="B352" s="152"/>
      <c r="C352" s="103"/>
      <c r="D352" s="103"/>
    </row>
    <row r="353" spans="1:4">
      <c r="A353" s="103"/>
      <c r="B353" s="152"/>
      <c r="C353" s="103"/>
      <c r="D353" s="103"/>
    </row>
    <row r="354" spans="1:4">
      <c r="A354" s="103"/>
      <c r="B354" s="152"/>
      <c r="C354" s="103"/>
      <c r="D354" s="103"/>
    </row>
    <row r="355" spans="1:4">
      <c r="A355" s="103"/>
      <c r="B355" s="152"/>
      <c r="C355" s="103"/>
      <c r="D355" s="103"/>
    </row>
    <row r="356" spans="1:4">
      <c r="A356" s="103"/>
      <c r="B356" s="152"/>
      <c r="C356" s="103"/>
      <c r="D356" s="103"/>
    </row>
    <row r="357" spans="1:4">
      <c r="A357" s="103"/>
      <c r="B357" s="152"/>
      <c r="C357" s="103"/>
      <c r="D357" s="103"/>
    </row>
    <row r="358" spans="1:4">
      <c r="A358" s="103"/>
      <c r="B358" s="152"/>
      <c r="C358" s="103"/>
      <c r="D358" s="103"/>
    </row>
    <row r="359" spans="1:4">
      <c r="A359" s="103"/>
      <c r="B359" s="152"/>
      <c r="C359" s="103"/>
      <c r="D359" s="103"/>
    </row>
    <row r="360" spans="1:4">
      <c r="A360" s="103"/>
      <c r="B360" s="152"/>
      <c r="C360" s="103"/>
      <c r="D360" s="103"/>
    </row>
    <row r="361" spans="1:4">
      <c r="A361" s="103"/>
      <c r="B361" s="152"/>
      <c r="C361" s="103"/>
      <c r="D361" s="103"/>
    </row>
    <row r="362" spans="1:4">
      <c r="A362" s="103"/>
      <c r="B362" s="152"/>
      <c r="C362" s="103"/>
      <c r="D362" s="103"/>
    </row>
    <row r="363" spans="1:4">
      <c r="A363" s="103"/>
      <c r="B363" s="152"/>
      <c r="C363" s="103"/>
      <c r="D363" s="103"/>
    </row>
    <row r="364" spans="1:4">
      <c r="A364" s="103"/>
      <c r="B364" s="152"/>
      <c r="C364" s="103"/>
      <c r="D364" s="103"/>
    </row>
    <row r="365" spans="1:4">
      <c r="A365" s="103"/>
      <c r="B365" s="152"/>
      <c r="C365" s="103"/>
      <c r="D365" s="103"/>
    </row>
    <row r="366" spans="1:4">
      <c r="A366" s="103"/>
      <c r="B366" s="152"/>
      <c r="C366" s="103"/>
      <c r="D366" s="103"/>
    </row>
    <row r="367" spans="1:4">
      <c r="A367" s="103"/>
      <c r="B367" s="152"/>
      <c r="C367" s="103"/>
      <c r="D367" s="103"/>
    </row>
    <row r="368" spans="1:4">
      <c r="A368" s="103"/>
      <c r="B368" s="152"/>
      <c r="C368" s="103"/>
      <c r="D368" s="103"/>
    </row>
    <row r="369" spans="1:4">
      <c r="A369" s="103"/>
      <c r="B369" s="152"/>
      <c r="C369" s="103"/>
      <c r="D369" s="103"/>
    </row>
    <row r="370" spans="1:4">
      <c r="A370" s="103"/>
      <c r="B370" s="152"/>
      <c r="C370" s="103"/>
      <c r="D370" s="103"/>
    </row>
    <row r="371" spans="1:4">
      <c r="A371" s="103"/>
      <c r="B371" s="152"/>
      <c r="C371" s="103"/>
      <c r="D371" s="103"/>
    </row>
    <row r="372" spans="1:4">
      <c r="A372" s="103"/>
      <c r="B372" s="152"/>
      <c r="C372" s="103"/>
      <c r="D372" s="103"/>
    </row>
    <row r="373" spans="1:4">
      <c r="A373" s="103"/>
      <c r="B373" s="152"/>
      <c r="C373" s="103"/>
      <c r="D373" s="103"/>
    </row>
    <row r="374" spans="1:4">
      <c r="A374" s="103"/>
      <c r="B374" s="152"/>
      <c r="C374" s="103"/>
      <c r="D374" s="103"/>
    </row>
    <row r="375" spans="1:4">
      <c r="A375" s="103"/>
      <c r="B375" s="152"/>
      <c r="C375" s="103"/>
      <c r="D375" s="103"/>
    </row>
    <row r="376" spans="1:4">
      <c r="A376" s="103"/>
      <c r="B376" s="152"/>
      <c r="C376" s="103"/>
      <c r="D376" s="103"/>
    </row>
    <row r="377" spans="1:4">
      <c r="A377" s="103"/>
      <c r="B377" s="152"/>
      <c r="C377" s="103"/>
      <c r="D377" s="103"/>
    </row>
    <row r="378" spans="1:4">
      <c r="A378" s="103"/>
      <c r="B378" s="152"/>
      <c r="C378" s="103"/>
      <c r="D378" s="103"/>
    </row>
    <row r="379" spans="1:4">
      <c r="A379" s="103"/>
      <c r="B379" s="152"/>
      <c r="C379" s="103"/>
      <c r="D379" s="103"/>
    </row>
    <row r="380" spans="1:4">
      <c r="A380" s="103"/>
      <c r="B380" s="152"/>
      <c r="C380" s="103"/>
      <c r="D380" s="103"/>
    </row>
    <row r="381" spans="1:4">
      <c r="A381" s="103"/>
      <c r="B381" s="152"/>
      <c r="C381" s="103"/>
      <c r="D381" s="103"/>
    </row>
    <row r="382" spans="1:4">
      <c r="A382" s="103"/>
      <c r="B382" s="152"/>
      <c r="C382" s="103"/>
      <c r="D382" s="103"/>
    </row>
    <row r="383" spans="1:4">
      <c r="A383" s="103"/>
      <c r="B383" s="152"/>
      <c r="C383" s="103"/>
      <c r="D383" s="103"/>
    </row>
    <row r="384" spans="1:4">
      <c r="A384" s="103"/>
      <c r="B384" s="152"/>
      <c r="C384" s="103"/>
      <c r="D384" s="103"/>
    </row>
    <row r="385" spans="1:4">
      <c r="A385" s="103"/>
      <c r="B385" s="152"/>
      <c r="C385" s="103"/>
      <c r="D385" s="103"/>
    </row>
    <row r="386" spans="1:4">
      <c r="A386" s="103"/>
      <c r="B386" s="152"/>
      <c r="C386" s="103"/>
      <c r="D386" s="103"/>
    </row>
    <row r="387" spans="1:4">
      <c r="A387" s="103"/>
      <c r="B387" s="152"/>
      <c r="C387" s="103"/>
      <c r="D387" s="103"/>
    </row>
    <row r="388" spans="1:4">
      <c r="A388" s="103"/>
      <c r="B388" s="152"/>
      <c r="C388" s="103"/>
      <c r="D388" s="103"/>
    </row>
    <row r="389" spans="1:4">
      <c r="A389" s="103"/>
      <c r="B389" s="152"/>
      <c r="C389" s="103"/>
      <c r="D389" s="103"/>
    </row>
    <row r="390" spans="1:4">
      <c r="A390" s="103"/>
      <c r="B390" s="152"/>
      <c r="C390" s="103"/>
      <c r="D390" s="103"/>
    </row>
    <row r="391" spans="1:4">
      <c r="A391" s="103"/>
      <c r="B391" s="152"/>
      <c r="C391" s="103"/>
      <c r="D391" s="103"/>
    </row>
    <row r="392" spans="1:4">
      <c r="A392" s="103"/>
      <c r="B392" s="152"/>
      <c r="C392" s="103"/>
      <c r="D392" s="103"/>
    </row>
    <row r="393" spans="1:4">
      <c r="A393" s="103"/>
      <c r="B393" s="152"/>
      <c r="C393" s="103"/>
      <c r="D393" s="103"/>
    </row>
    <row r="394" spans="1:4">
      <c r="A394" s="103"/>
      <c r="B394" s="152"/>
      <c r="C394" s="103"/>
      <c r="D394" s="103"/>
    </row>
    <row r="395" spans="1:4">
      <c r="A395" s="103"/>
      <c r="B395" s="152"/>
      <c r="C395" s="103"/>
      <c r="D395" s="103"/>
    </row>
    <row r="396" spans="1:4">
      <c r="A396" s="103"/>
      <c r="B396" s="152"/>
      <c r="C396" s="103"/>
      <c r="D396" s="103"/>
    </row>
    <row r="397" spans="1:4">
      <c r="A397" s="103"/>
      <c r="B397" s="152"/>
      <c r="C397" s="103"/>
      <c r="D397" s="103"/>
    </row>
    <row r="398" spans="1:4">
      <c r="A398" s="103"/>
      <c r="B398" s="152"/>
      <c r="C398" s="103"/>
      <c r="D398" s="103"/>
    </row>
    <row r="399" spans="1:4">
      <c r="A399" s="103"/>
      <c r="B399" s="152"/>
      <c r="C399" s="103"/>
      <c r="D399" s="103"/>
    </row>
    <row r="400" spans="1:4">
      <c r="A400" s="103"/>
      <c r="B400" s="152"/>
      <c r="C400" s="103"/>
      <c r="D400" s="103"/>
    </row>
    <row r="401" spans="1:4">
      <c r="A401" s="103"/>
      <c r="B401" s="152"/>
      <c r="C401" s="103"/>
      <c r="D401" s="103"/>
    </row>
    <row r="402" spans="1:4">
      <c r="A402" s="103"/>
      <c r="B402" s="152"/>
      <c r="C402" s="103"/>
      <c r="D402" s="103"/>
    </row>
    <row r="403" spans="1:4">
      <c r="A403" s="103"/>
      <c r="B403" s="152"/>
      <c r="C403" s="103"/>
      <c r="D403" s="103"/>
    </row>
    <row r="404" spans="1:4">
      <c r="A404" s="103"/>
      <c r="B404" s="152"/>
      <c r="C404" s="103"/>
      <c r="D404" s="103"/>
    </row>
    <row r="405" spans="1:4">
      <c r="A405" s="103"/>
      <c r="B405" s="152"/>
      <c r="C405" s="103"/>
      <c r="D405" s="103"/>
    </row>
    <row r="406" spans="1:4">
      <c r="A406" s="103"/>
      <c r="B406" s="152"/>
      <c r="C406" s="103"/>
      <c r="D406" s="103"/>
    </row>
    <row r="407" spans="1:4">
      <c r="A407" s="103"/>
      <c r="B407" s="152"/>
      <c r="C407" s="103"/>
      <c r="D407" s="103"/>
    </row>
    <row r="408" spans="1:4">
      <c r="A408" s="103"/>
      <c r="B408" s="152"/>
      <c r="C408" s="103"/>
      <c r="D408" s="103"/>
    </row>
    <row r="409" spans="1:4">
      <c r="A409" s="103"/>
      <c r="B409" s="152"/>
      <c r="C409" s="103"/>
      <c r="D409" s="103"/>
    </row>
    <row r="410" spans="1:4">
      <c r="A410" s="103"/>
      <c r="B410" s="152"/>
      <c r="C410" s="103"/>
      <c r="D410" s="103"/>
    </row>
    <row r="411" spans="1:4">
      <c r="A411" s="103"/>
      <c r="B411" s="152"/>
      <c r="C411" s="103"/>
      <c r="D411" s="103"/>
    </row>
    <row r="412" spans="1:4">
      <c r="A412" s="103"/>
      <c r="B412" s="152"/>
      <c r="C412" s="103"/>
      <c r="D412" s="103"/>
    </row>
    <row r="413" spans="1:4">
      <c r="A413" s="103"/>
      <c r="B413" s="152"/>
      <c r="C413" s="103"/>
      <c r="D413" s="103"/>
    </row>
    <row r="414" spans="1:4">
      <c r="A414" s="103"/>
      <c r="B414" s="152"/>
      <c r="C414" s="103"/>
      <c r="D414" s="103"/>
    </row>
    <row r="415" spans="1:4">
      <c r="A415" s="103"/>
      <c r="B415" s="152"/>
      <c r="C415" s="103"/>
      <c r="D415" s="103"/>
    </row>
    <row r="416" spans="1:4">
      <c r="A416" s="103"/>
      <c r="B416" s="152"/>
      <c r="C416" s="103"/>
      <c r="D416" s="103"/>
    </row>
    <row r="417" spans="1:4">
      <c r="A417" s="103"/>
      <c r="B417" s="152"/>
      <c r="C417" s="103"/>
      <c r="D417" s="103"/>
    </row>
  </sheetData>
  <sheetProtection password="C446" sheet="1" objects="1" scenarios="1"/>
  <mergeCells count="4">
    <mergeCell ref="B2:M2"/>
    <mergeCell ref="F4:N4"/>
    <mergeCell ref="B5:D5"/>
    <mergeCell ref="F7:N7"/>
  </mergeCells>
  <pageMargins left="1.0418110236220472" right="0.23622047244094491" top="0.39370078740157483" bottom="0.23622047244094491" header="0.19685039370078741" footer="0.11811023622047245"/>
  <headerFooter alignWithMargins="0">
    <oddHeader>&amp;CReef Check Brasil - peixes e invertebrados gráficos</oddHeader>
    <oddFooter>Página &amp;P de &amp;N</oddFooter>
  </headerFooter>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T193"/>
  <sheetViews>
    <sheetView topLeftCell="A10" zoomScale="125" zoomScaleNormal="125" zoomScalePageLayoutView="125" workbookViewId="0">
      <pane xSplit="4" topLeftCell="L1" activePane="topRight" state="frozen"/>
      <selection activeCell="C3" sqref="C3:E3"/>
      <selection pane="topRight" activeCell="T24" sqref="T24"/>
    </sheetView>
  </sheetViews>
  <sheetFormatPr baseColWidth="10" defaultColWidth="8.83203125" defaultRowHeight="12" x14ac:dyDescent="0"/>
  <cols>
    <col min="1" max="1" width="2.1640625" style="154" customWidth="1"/>
    <col min="2" max="2" width="34.83203125" style="154" customWidth="1"/>
    <col min="3" max="3" width="27.6640625" style="154" customWidth="1"/>
    <col min="4" max="4" width="30" style="154" customWidth="1"/>
    <col min="5" max="5" width="2.1640625" style="154" customWidth="1"/>
    <col min="6" max="6" width="24.5" style="204" customWidth="1"/>
    <col min="7" max="7" width="27.83203125" style="156" customWidth="1"/>
    <col min="8" max="8" width="15.5" style="156" customWidth="1"/>
    <col min="9" max="9" width="10.1640625" style="156" bestFit="1" customWidth="1"/>
    <col min="10" max="10" width="24.1640625" style="156" customWidth="1"/>
    <col min="11" max="11" width="26.5" style="156" customWidth="1"/>
    <col min="12" max="12" width="15.5" style="156" customWidth="1"/>
    <col min="13" max="13" width="9.1640625" style="156" customWidth="1"/>
    <col min="14" max="14" width="2.1640625" style="156" customWidth="1"/>
    <col min="15" max="15" width="2.33203125" style="157" customWidth="1"/>
    <col min="16" max="16" width="23.6640625" style="156" customWidth="1"/>
    <col min="17" max="17" width="27.83203125" style="156" customWidth="1"/>
    <col min="18" max="18" width="16.6640625" style="156" bestFit="1" customWidth="1"/>
    <col min="19" max="19" width="7.83203125" style="156" bestFit="1" customWidth="1"/>
    <col min="20" max="20" width="23.5" style="156" customWidth="1"/>
    <col min="21" max="21" width="24.83203125" style="156" customWidth="1"/>
    <col min="22" max="22" width="16" style="156" customWidth="1"/>
    <col min="23" max="23" width="7.83203125" style="154" bestFit="1" customWidth="1"/>
    <col min="24" max="24" width="2.5" style="157" customWidth="1"/>
    <col min="25" max="25" width="2.6640625" style="157" customWidth="1"/>
    <col min="26" max="26" width="16.5" style="270" customWidth="1"/>
    <col min="27" max="27" width="47" style="261" customWidth="1"/>
    <col min="28" max="28" width="8.83203125" style="158" customWidth="1"/>
    <col min="29" max="29" width="7.5" style="158" customWidth="1"/>
    <col min="30" max="37" width="8.83203125" style="158" customWidth="1"/>
    <col min="38" max="58" width="8.83203125" style="18" customWidth="1"/>
    <col min="59" max="72" width="8.83203125" style="157" customWidth="1"/>
    <col min="73" max="16384" width="8.83203125" style="154"/>
  </cols>
  <sheetData>
    <row r="1" spans="2:72" ht="13" thickBot="1">
      <c r="F1" s="155"/>
    </row>
    <row r="2" spans="2:72" s="20" customFormat="1" ht="13">
      <c r="B2" s="159"/>
      <c r="C2" s="160"/>
      <c r="D2" s="31"/>
      <c r="E2" s="161"/>
      <c r="F2" s="380" t="s">
        <v>418</v>
      </c>
      <c r="G2" s="380"/>
      <c r="H2" s="380"/>
      <c r="I2" s="381"/>
      <c r="J2" s="381"/>
      <c r="K2" s="381"/>
      <c r="L2" s="381"/>
      <c r="M2" s="381"/>
      <c r="N2" s="381"/>
      <c r="O2" s="381"/>
      <c r="P2" s="381"/>
      <c r="Q2" s="381"/>
      <c r="R2" s="381"/>
      <c r="S2" s="381"/>
      <c r="T2" s="381"/>
      <c r="U2" s="381"/>
      <c r="V2" s="381"/>
      <c r="W2" s="381"/>
      <c r="X2" s="162"/>
      <c r="Y2" s="158"/>
      <c r="Z2" s="257"/>
      <c r="AA2" s="163" t="s">
        <v>103</v>
      </c>
      <c r="AB2" s="158"/>
      <c r="AC2" s="245"/>
      <c r="AD2" s="158"/>
      <c r="AE2" s="158"/>
      <c r="AF2" s="158"/>
      <c r="AG2" s="158"/>
      <c r="AH2" s="158"/>
      <c r="AI2" s="158"/>
      <c r="AJ2" s="158"/>
      <c r="AK2" s="158"/>
      <c r="AL2" s="18"/>
      <c r="AM2" s="18"/>
      <c r="AN2" s="18"/>
      <c r="AO2" s="18"/>
      <c r="AP2" s="18"/>
      <c r="AQ2" s="18"/>
      <c r="AR2" s="18"/>
      <c r="AS2" s="18"/>
      <c r="AT2" s="18"/>
      <c r="AU2" s="18"/>
      <c r="AV2" s="18"/>
      <c r="AW2" s="18"/>
      <c r="AX2" s="18"/>
      <c r="AY2" s="18"/>
      <c r="AZ2" s="18"/>
      <c r="BA2" s="18"/>
      <c r="BB2" s="18"/>
      <c r="BC2" s="18"/>
      <c r="BD2" s="18"/>
      <c r="BE2" s="18"/>
      <c r="BF2" s="18"/>
      <c r="BG2" s="157"/>
      <c r="BH2" s="157"/>
      <c r="BI2" s="157"/>
      <c r="BJ2" s="157"/>
      <c r="BK2" s="157"/>
      <c r="BL2" s="157"/>
      <c r="BM2" s="157"/>
      <c r="BN2" s="157"/>
      <c r="BO2" s="157"/>
      <c r="BP2" s="157"/>
      <c r="BQ2" s="157"/>
      <c r="BR2" s="157"/>
      <c r="BS2" s="157"/>
      <c r="BT2" s="157"/>
    </row>
    <row r="3" spans="2:72" s="20" customFormat="1" ht="15">
      <c r="B3" s="164" t="s">
        <v>104</v>
      </c>
      <c r="C3" s="285" t="s">
        <v>32</v>
      </c>
      <c r="D3" s="169"/>
      <c r="E3" s="166"/>
      <c r="F3" s="167"/>
      <c r="G3" s="167"/>
      <c r="H3" s="167"/>
      <c r="I3" s="168"/>
      <c r="J3" s="168"/>
      <c r="K3" s="168"/>
      <c r="L3" s="168"/>
      <c r="M3" s="168"/>
      <c r="N3" s="168"/>
      <c r="O3" s="165"/>
      <c r="P3" s="168"/>
      <c r="Q3" s="168"/>
      <c r="R3" s="168"/>
      <c r="S3" s="168"/>
      <c r="T3" s="168"/>
      <c r="U3" s="168"/>
      <c r="V3" s="168"/>
      <c r="W3" s="168"/>
      <c r="X3" s="169"/>
      <c r="Y3" s="158"/>
      <c r="Z3" s="262" t="s">
        <v>76</v>
      </c>
      <c r="AA3" s="170" t="s">
        <v>105</v>
      </c>
      <c r="AB3" s="158"/>
      <c r="AC3" s="246"/>
      <c r="AD3" s="158"/>
      <c r="AE3" s="158"/>
      <c r="AF3" s="158"/>
      <c r="AG3" s="158"/>
      <c r="AH3" s="158"/>
      <c r="AI3" s="158"/>
      <c r="AJ3" s="158"/>
      <c r="AK3" s="158"/>
      <c r="AL3" s="18"/>
      <c r="AM3" s="18"/>
      <c r="AN3" s="18"/>
      <c r="AO3" s="18"/>
      <c r="AP3" s="18"/>
      <c r="AQ3" s="18"/>
      <c r="AR3" s="18"/>
      <c r="AS3" s="18"/>
      <c r="AT3" s="18"/>
      <c r="AU3" s="18"/>
      <c r="AV3" s="18"/>
      <c r="AW3" s="18"/>
      <c r="AX3" s="18"/>
      <c r="AY3" s="18"/>
      <c r="AZ3" s="18"/>
      <c r="BA3" s="18"/>
      <c r="BB3" s="18"/>
      <c r="BC3" s="18"/>
      <c r="BD3" s="18"/>
      <c r="BE3" s="18"/>
      <c r="BF3" s="18"/>
      <c r="BG3" s="157"/>
      <c r="BH3" s="157"/>
      <c r="BI3" s="157"/>
      <c r="BJ3" s="157"/>
      <c r="BK3" s="157"/>
      <c r="BL3" s="157"/>
      <c r="BM3" s="157"/>
      <c r="BN3" s="157"/>
      <c r="BO3" s="157"/>
      <c r="BP3" s="157"/>
      <c r="BQ3" s="157"/>
      <c r="BR3" s="157"/>
      <c r="BS3" s="157"/>
      <c r="BT3" s="157"/>
    </row>
    <row r="4" spans="2:72" s="20" customFormat="1" ht="17">
      <c r="B4" s="171" t="s">
        <v>106</v>
      </c>
      <c r="C4" s="244" t="s">
        <v>108</v>
      </c>
      <c r="D4" s="286" t="s">
        <v>371</v>
      </c>
      <c r="E4" s="166"/>
      <c r="F4" s="254" t="s">
        <v>107</v>
      </c>
      <c r="G4" s="252"/>
      <c r="H4" s="252"/>
      <c r="I4" s="252"/>
      <c r="J4" s="241"/>
      <c r="K4" s="241"/>
      <c r="L4" s="241"/>
      <c r="M4" s="241"/>
      <c r="N4" s="241"/>
      <c r="O4" s="165"/>
      <c r="P4" s="254" t="s">
        <v>107</v>
      </c>
      <c r="Q4" s="252"/>
      <c r="R4" s="252"/>
      <c r="S4" s="252"/>
      <c r="T4" s="241"/>
      <c r="U4" s="241"/>
      <c r="V4" s="241"/>
      <c r="W4" s="241"/>
      <c r="X4" s="169"/>
      <c r="Y4" s="158"/>
      <c r="Z4" s="262" t="s">
        <v>389</v>
      </c>
      <c r="AA4" s="170" t="s">
        <v>106</v>
      </c>
      <c r="AB4" s="158"/>
      <c r="AC4" s="246"/>
      <c r="AD4" s="158"/>
      <c r="AE4" s="158"/>
      <c r="AF4" s="158"/>
      <c r="AG4" s="158"/>
      <c r="AH4" s="158"/>
      <c r="AI4" s="158"/>
      <c r="AJ4" s="158"/>
      <c r="AK4" s="158"/>
      <c r="AL4" s="18"/>
      <c r="AM4" s="18"/>
      <c r="AN4" s="18"/>
      <c r="AO4" s="18"/>
      <c r="AP4" s="18"/>
      <c r="AQ4" s="18"/>
      <c r="AR4" s="18"/>
      <c r="AS4" s="18"/>
      <c r="AT4" s="18"/>
      <c r="AU4" s="18"/>
      <c r="AV4" s="18"/>
      <c r="AW4" s="18"/>
      <c r="AX4" s="18"/>
      <c r="AY4" s="18"/>
      <c r="AZ4" s="18"/>
      <c r="BA4" s="18"/>
      <c r="BB4" s="18"/>
      <c r="BC4" s="18"/>
      <c r="BD4" s="18"/>
      <c r="BE4" s="18"/>
      <c r="BF4" s="18"/>
      <c r="BG4" s="157"/>
      <c r="BH4" s="157"/>
      <c r="BI4" s="157"/>
      <c r="BJ4" s="157"/>
      <c r="BK4" s="157"/>
      <c r="BL4" s="157"/>
      <c r="BM4" s="157"/>
      <c r="BN4" s="157"/>
      <c r="BO4" s="157"/>
      <c r="BP4" s="157"/>
      <c r="BQ4" s="157"/>
      <c r="BR4" s="157"/>
      <c r="BS4" s="157"/>
      <c r="BT4" s="157"/>
    </row>
    <row r="5" spans="2:72" s="20" customFormat="1" ht="14">
      <c r="B5" s="171" t="s">
        <v>105</v>
      </c>
      <c r="C5" s="273" t="s">
        <v>112</v>
      </c>
      <c r="D5" s="271" t="s">
        <v>109</v>
      </c>
      <c r="E5" s="166"/>
      <c r="F5" s="254" t="s">
        <v>420</v>
      </c>
      <c r="G5" s="252"/>
      <c r="H5" s="252"/>
      <c r="I5" s="252"/>
      <c r="J5" s="252"/>
      <c r="K5" s="252"/>
      <c r="L5" s="252"/>
      <c r="M5" s="252"/>
      <c r="N5" s="252"/>
      <c r="O5" s="165"/>
      <c r="P5" s="254" t="s">
        <v>420</v>
      </c>
      <c r="Q5" s="252"/>
      <c r="R5" s="252"/>
      <c r="S5" s="252"/>
      <c r="T5" s="252"/>
      <c r="U5" s="252"/>
      <c r="V5" s="252"/>
      <c r="W5" s="252"/>
      <c r="X5" s="169"/>
      <c r="Y5" s="158"/>
      <c r="Z5" s="262" t="s">
        <v>390</v>
      </c>
      <c r="AA5" s="172" t="s">
        <v>111</v>
      </c>
      <c r="AB5" s="158"/>
      <c r="AC5" s="247"/>
      <c r="AD5" s="158"/>
      <c r="AE5" s="158"/>
      <c r="AF5" s="158"/>
      <c r="AG5" s="158"/>
      <c r="AH5" s="158"/>
      <c r="AI5" s="158"/>
      <c r="AJ5" s="158"/>
      <c r="AK5" s="158"/>
      <c r="AL5" s="18"/>
      <c r="AM5" s="18"/>
      <c r="AN5" s="18"/>
      <c r="AO5" s="18"/>
      <c r="AP5" s="18"/>
      <c r="AQ5" s="18"/>
      <c r="AR5" s="18"/>
      <c r="AS5" s="18"/>
      <c r="AT5" s="18"/>
      <c r="AU5" s="18"/>
      <c r="AV5" s="18"/>
      <c r="AW5" s="18"/>
      <c r="AX5" s="18"/>
      <c r="AY5" s="18"/>
      <c r="AZ5" s="18"/>
      <c r="BA5" s="18"/>
      <c r="BB5" s="18"/>
      <c r="BC5" s="18"/>
      <c r="BD5" s="18"/>
      <c r="BE5" s="18"/>
      <c r="BF5" s="18"/>
      <c r="BG5" s="157"/>
      <c r="BH5" s="157"/>
      <c r="BI5" s="157"/>
      <c r="BJ5" s="157"/>
      <c r="BK5" s="157"/>
      <c r="BL5" s="157"/>
      <c r="BM5" s="157"/>
      <c r="BN5" s="157"/>
      <c r="BO5" s="157"/>
      <c r="BP5" s="157"/>
      <c r="BQ5" s="157"/>
      <c r="BR5" s="157"/>
      <c r="BS5" s="157"/>
      <c r="BT5" s="157"/>
    </row>
    <row r="6" spans="2:72" s="20" customFormat="1" ht="17">
      <c r="B6" s="173" t="s">
        <v>103</v>
      </c>
      <c r="C6" s="273" t="s">
        <v>115</v>
      </c>
      <c r="D6" s="271" t="s">
        <v>113</v>
      </c>
      <c r="E6" s="166"/>
      <c r="F6" s="252"/>
      <c r="G6" s="252"/>
      <c r="H6" s="252"/>
      <c r="I6" s="252"/>
      <c r="J6" s="385" t="s">
        <v>110</v>
      </c>
      <c r="K6" s="385"/>
      <c r="L6" s="385"/>
      <c r="M6" s="385"/>
      <c r="N6" s="278"/>
      <c r="O6" s="165"/>
      <c r="P6" s="252"/>
      <c r="Q6" s="252"/>
      <c r="R6" s="252"/>
      <c r="S6" s="252"/>
      <c r="T6" s="385" t="s">
        <v>110</v>
      </c>
      <c r="U6" s="385"/>
      <c r="V6" s="385"/>
      <c r="W6" s="385"/>
      <c r="X6" s="169"/>
      <c r="Y6" s="158"/>
      <c r="Z6" s="262" t="s">
        <v>77</v>
      </c>
      <c r="AA6" s="172" t="s">
        <v>114</v>
      </c>
      <c r="AB6" s="158"/>
      <c r="AC6" s="247"/>
      <c r="AD6" s="158"/>
      <c r="AE6" s="158"/>
      <c r="AF6" s="158"/>
      <c r="AG6" s="158"/>
      <c r="AH6" s="158"/>
      <c r="AI6" s="158"/>
      <c r="AJ6" s="158"/>
      <c r="AK6" s="158"/>
      <c r="AL6" s="18"/>
      <c r="AM6" s="18"/>
      <c r="AN6" s="18"/>
      <c r="AO6" s="18"/>
      <c r="AP6" s="18"/>
      <c r="AQ6" s="18"/>
      <c r="AR6" s="18"/>
      <c r="AS6" s="18"/>
      <c r="AT6" s="18"/>
      <c r="AU6" s="18"/>
      <c r="AV6" s="18"/>
      <c r="AW6" s="18"/>
      <c r="AX6" s="18"/>
      <c r="AY6" s="18"/>
      <c r="AZ6" s="18"/>
      <c r="BA6" s="18"/>
      <c r="BB6" s="18"/>
      <c r="BC6" s="18"/>
      <c r="BD6" s="18"/>
      <c r="BE6" s="18"/>
      <c r="BF6" s="18"/>
      <c r="BG6" s="157"/>
      <c r="BH6" s="157"/>
      <c r="BI6" s="157"/>
      <c r="BJ6" s="157"/>
      <c r="BK6" s="157"/>
      <c r="BL6" s="157"/>
      <c r="BM6" s="157"/>
      <c r="BN6" s="157"/>
      <c r="BO6" s="157"/>
      <c r="BP6" s="157"/>
      <c r="BQ6" s="157"/>
      <c r="BR6" s="157"/>
      <c r="BS6" s="157"/>
      <c r="BT6" s="157"/>
    </row>
    <row r="7" spans="2:72" s="20" customFormat="1" ht="14">
      <c r="B7" s="175"/>
      <c r="C7" s="273" t="s">
        <v>118</v>
      </c>
      <c r="D7" s="271" t="s">
        <v>116</v>
      </c>
      <c r="E7" s="166"/>
      <c r="F7" s="254" t="s">
        <v>421</v>
      </c>
      <c r="G7" s="255"/>
      <c r="H7" s="255"/>
      <c r="I7" s="255"/>
      <c r="J7" s="255"/>
      <c r="K7" s="255"/>
      <c r="L7" s="255"/>
      <c r="M7" s="256"/>
      <c r="N7" s="165"/>
      <c r="O7" s="165"/>
      <c r="P7" s="254" t="s">
        <v>421</v>
      </c>
      <c r="Q7" s="255"/>
      <c r="R7" s="255"/>
      <c r="S7" s="255"/>
      <c r="T7" s="255"/>
      <c r="U7" s="255"/>
      <c r="V7" s="255"/>
      <c r="W7" s="256"/>
      <c r="X7" s="169"/>
      <c r="Y7" s="158"/>
      <c r="Z7" s="262" t="s">
        <v>78</v>
      </c>
      <c r="AA7" s="176" t="s">
        <v>117</v>
      </c>
      <c r="AB7" s="158"/>
      <c r="AC7" s="248"/>
      <c r="AD7" s="158"/>
      <c r="AE7" s="158"/>
      <c r="AF7" s="158"/>
      <c r="AG7" s="158"/>
      <c r="AH7" s="158"/>
      <c r="AI7" s="158"/>
      <c r="AJ7" s="158"/>
      <c r="AK7" s="158"/>
      <c r="AL7" s="18"/>
      <c r="AM7" s="18"/>
      <c r="AN7" s="18"/>
      <c r="AO7" s="18"/>
      <c r="AP7" s="18"/>
      <c r="AQ7" s="18"/>
      <c r="AR7" s="18"/>
      <c r="AS7" s="18"/>
      <c r="AT7" s="18"/>
      <c r="AU7" s="18"/>
      <c r="AV7" s="18"/>
      <c r="AW7" s="18"/>
      <c r="AX7" s="18"/>
      <c r="AY7" s="18"/>
      <c r="AZ7" s="18"/>
      <c r="BA7" s="18"/>
      <c r="BB7" s="18"/>
      <c r="BC7" s="18"/>
      <c r="BD7" s="18"/>
      <c r="BE7" s="18"/>
      <c r="BF7" s="18"/>
      <c r="BG7" s="157"/>
      <c r="BH7" s="157"/>
      <c r="BI7" s="157"/>
      <c r="BJ7" s="157"/>
      <c r="BK7" s="157"/>
      <c r="BL7" s="157"/>
      <c r="BM7" s="157"/>
      <c r="BN7" s="157"/>
      <c r="BO7" s="157"/>
      <c r="BP7" s="157"/>
      <c r="BQ7" s="157"/>
      <c r="BR7" s="157"/>
      <c r="BS7" s="157"/>
      <c r="BT7" s="157"/>
    </row>
    <row r="8" spans="2:72" s="20" customFormat="1" ht="14">
      <c r="B8" s="284" t="s">
        <v>28</v>
      </c>
      <c r="C8" s="273" t="s">
        <v>122</v>
      </c>
      <c r="D8" s="271" t="s">
        <v>119</v>
      </c>
      <c r="E8" s="166"/>
      <c r="F8" s="254" t="s">
        <v>422</v>
      </c>
      <c r="G8" s="255"/>
      <c r="H8" s="255"/>
      <c r="I8" s="255"/>
      <c r="J8" s="256" t="s">
        <v>76</v>
      </c>
      <c r="K8" s="256" t="s">
        <v>372</v>
      </c>
      <c r="L8" s="366" t="s">
        <v>66</v>
      </c>
      <c r="M8" s="366"/>
      <c r="N8" s="165"/>
      <c r="O8" s="165"/>
      <c r="P8" s="254" t="s">
        <v>422</v>
      </c>
      <c r="Q8" s="255"/>
      <c r="R8" s="255"/>
      <c r="S8" s="255"/>
      <c r="T8" s="256" t="s">
        <v>76</v>
      </c>
      <c r="U8" s="256" t="s">
        <v>372</v>
      </c>
      <c r="V8" s="366" t="s">
        <v>66</v>
      </c>
      <c r="W8" s="366"/>
      <c r="X8" s="169"/>
      <c r="Y8" s="158"/>
      <c r="Z8" s="262" t="s">
        <v>372</v>
      </c>
      <c r="AA8" s="172" t="s">
        <v>120</v>
      </c>
      <c r="AB8" s="158"/>
      <c r="AC8" s="247"/>
      <c r="AD8" s="158"/>
      <c r="AE8" s="158"/>
      <c r="AF8" s="158"/>
      <c r="AG8" s="158"/>
      <c r="AH8" s="158"/>
      <c r="AI8" s="158"/>
      <c r="AJ8" s="158"/>
      <c r="AK8" s="158"/>
      <c r="AL8" s="18"/>
      <c r="AM8" s="18"/>
      <c r="AN8" s="18"/>
      <c r="AO8" s="18"/>
      <c r="AP8" s="18"/>
      <c r="AQ8" s="18"/>
      <c r="AR8" s="18"/>
      <c r="AS8" s="18"/>
      <c r="AT8" s="18"/>
      <c r="AU8" s="18"/>
      <c r="AV8" s="18"/>
      <c r="AW8" s="18"/>
      <c r="AX8" s="18"/>
      <c r="AY8" s="18"/>
      <c r="AZ8" s="18"/>
      <c r="BA8" s="18"/>
      <c r="BB8" s="18"/>
      <c r="BC8" s="18"/>
      <c r="BD8" s="18"/>
      <c r="BE8" s="18"/>
      <c r="BF8" s="18"/>
      <c r="BG8" s="157"/>
      <c r="BH8" s="157"/>
      <c r="BI8" s="157"/>
      <c r="BJ8" s="157"/>
      <c r="BK8" s="157"/>
      <c r="BL8" s="157"/>
      <c r="BM8" s="157"/>
      <c r="BN8" s="157"/>
      <c r="BO8" s="157"/>
      <c r="BP8" s="157"/>
      <c r="BQ8" s="157"/>
      <c r="BR8" s="157"/>
      <c r="BS8" s="157"/>
      <c r="BT8" s="157"/>
    </row>
    <row r="9" spans="2:72" s="20" customFormat="1" ht="14">
      <c r="B9" s="272" t="s">
        <v>121</v>
      </c>
      <c r="C9" s="273" t="s">
        <v>387</v>
      </c>
      <c r="D9" s="271" t="s">
        <v>123</v>
      </c>
      <c r="E9" s="166"/>
      <c r="F9" s="255"/>
      <c r="G9" s="255"/>
      <c r="H9" s="255"/>
      <c r="I9" s="255"/>
      <c r="J9" s="256" t="s">
        <v>389</v>
      </c>
      <c r="K9" s="256" t="s">
        <v>373</v>
      </c>
      <c r="L9" s="366" t="s">
        <v>67</v>
      </c>
      <c r="M9" s="366"/>
      <c r="N9" s="165"/>
      <c r="O9" s="165"/>
      <c r="P9" s="255"/>
      <c r="Q9" s="255"/>
      <c r="R9" s="255"/>
      <c r="S9" s="255"/>
      <c r="T9" s="256" t="s">
        <v>389</v>
      </c>
      <c r="U9" s="256" t="s">
        <v>373</v>
      </c>
      <c r="V9" s="366" t="s">
        <v>67</v>
      </c>
      <c r="W9" s="366"/>
      <c r="X9" s="169"/>
      <c r="Y9" s="158"/>
      <c r="Z9" s="262" t="s">
        <v>373</v>
      </c>
      <c r="AA9" s="172" t="s">
        <v>124</v>
      </c>
      <c r="AB9" s="158"/>
      <c r="AC9" s="247"/>
      <c r="AD9" s="158"/>
      <c r="AE9" s="158"/>
      <c r="AF9" s="158"/>
      <c r="AG9" s="158"/>
      <c r="AH9" s="158"/>
      <c r="AI9" s="158"/>
      <c r="AJ9" s="158"/>
      <c r="AK9" s="158"/>
      <c r="AL9" s="18"/>
      <c r="AM9" s="18"/>
      <c r="AN9" s="18"/>
      <c r="AO9" s="18"/>
      <c r="AP9" s="18"/>
      <c r="AQ9" s="18"/>
      <c r="AR9" s="18"/>
      <c r="AS9" s="18"/>
      <c r="AT9" s="18"/>
      <c r="AU9" s="18"/>
      <c r="AV9" s="18"/>
      <c r="AW9" s="18"/>
      <c r="AX9" s="18"/>
      <c r="AY9" s="18"/>
      <c r="AZ9" s="18"/>
      <c r="BA9" s="18"/>
      <c r="BB9" s="18"/>
      <c r="BC9" s="18"/>
      <c r="BD9" s="18"/>
      <c r="BE9" s="18"/>
      <c r="BF9" s="18"/>
      <c r="BG9" s="157"/>
      <c r="BH9" s="157"/>
      <c r="BI9" s="157"/>
      <c r="BJ9" s="157"/>
      <c r="BK9" s="157"/>
      <c r="BL9" s="157"/>
      <c r="BM9" s="157"/>
      <c r="BN9" s="157"/>
      <c r="BO9" s="157"/>
      <c r="BP9" s="157"/>
      <c r="BQ9" s="157"/>
      <c r="BR9" s="157"/>
      <c r="BS9" s="157"/>
      <c r="BT9" s="157"/>
    </row>
    <row r="10" spans="2:72" s="20" customFormat="1" ht="14">
      <c r="B10" s="272" t="s">
        <v>125</v>
      </c>
      <c r="C10" s="273" t="s">
        <v>126</v>
      </c>
      <c r="D10" s="271" t="s">
        <v>127</v>
      </c>
      <c r="E10" s="166"/>
      <c r="F10" s="254" t="s">
        <v>322</v>
      </c>
      <c r="G10" s="255"/>
      <c r="H10" s="255"/>
      <c r="I10" s="255"/>
      <c r="J10" s="256" t="s">
        <v>390</v>
      </c>
      <c r="K10" s="256" t="s">
        <v>37</v>
      </c>
      <c r="L10" s="366" t="s">
        <v>34</v>
      </c>
      <c r="M10" s="366"/>
      <c r="N10" s="165"/>
      <c r="O10" s="165"/>
      <c r="P10" s="254" t="s">
        <v>322</v>
      </c>
      <c r="Q10" s="255"/>
      <c r="R10" s="255"/>
      <c r="S10" s="255"/>
      <c r="T10" s="256" t="s">
        <v>390</v>
      </c>
      <c r="U10" s="256" t="s">
        <v>37</v>
      </c>
      <c r="V10" s="366" t="s">
        <v>34</v>
      </c>
      <c r="W10" s="366"/>
      <c r="X10" s="169"/>
      <c r="Y10" s="158"/>
      <c r="Z10" s="262" t="s">
        <v>37</v>
      </c>
      <c r="AA10" s="172" t="s">
        <v>128</v>
      </c>
      <c r="AB10" s="158"/>
      <c r="AC10" s="247"/>
      <c r="AD10" s="158"/>
      <c r="AE10" s="158"/>
      <c r="AF10" s="158"/>
      <c r="AG10" s="158"/>
      <c r="AH10" s="158"/>
      <c r="AI10" s="158"/>
      <c r="AJ10" s="158"/>
      <c r="AK10" s="158"/>
      <c r="AL10" s="18"/>
      <c r="AM10" s="18"/>
      <c r="AN10" s="18"/>
      <c r="AO10" s="18"/>
      <c r="AP10" s="18"/>
      <c r="AQ10" s="18"/>
      <c r="AR10" s="18"/>
      <c r="AS10" s="18"/>
      <c r="AT10" s="18"/>
      <c r="AU10" s="18"/>
      <c r="AV10" s="18"/>
      <c r="AW10" s="18"/>
      <c r="AX10" s="18"/>
      <c r="AY10" s="18"/>
      <c r="AZ10" s="18"/>
      <c r="BA10" s="18"/>
      <c r="BB10" s="18"/>
      <c r="BC10" s="18"/>
      <c r="BD10" s="18"/>
      <c r="BE10" s="18"/>
      <c r="BF10" s="18"/>
      <c r="BG10" s="157"/>
      <c r="BH10" s="157"/>
      <c r="BI10" s="157"/>
      <c r="BJ10" s="157"/>
      <c r="BK10" s="157"/>
      <c r="BL10" s="157"/>
      <c r="BM10" s="157"/>
      <c r="BN10" s="157"/>
      <c r="BO10" s="157"/>
      <c r="BP10" s="157"/>
      <c r="BQ10" s="157"/>
      <c r="BR10" s="157"/>
      <c r="BS10" s="157"/>
      <c r="BT10" s="157"/>
    </row>
    <row r="11" spans="2:72" s="20" customFormat="1" ht="14">
      <c r="B11" s="175"/>
      <c r="C11" s="273" t="s">
        <v>129</v>
      </c>
      <c r="D11" s="169"/>
      <c r="E11" s="166"/>
      <c r="F11" s="254" t="s">
        <v>323</v>
      </c>
      <c r="G11" s="255"/>
      <c r="H11" s="255"/>
      <c r="I11" s="255"/>
      <c r="J11" s="256" t="s">
        <v>77</v>
      </c>
      <c r="K11" s="256" t="s">
        <v>131</v>
      </c>
      <c r="L11" s="366" t="s">
        <v>81</v>
      </c>
      <c r="M11" s="366"/>
      <c r="N11" s="165"/>
      <c r="O11" s="165"/>
      <c r="P11" s="254" t="s">
        <v>323</v>
      </c>
      <c r="Q11" s="255"/>
      <c r="R11" s="255"/>
      <c r="S11" s="255"/>
      <c r="T11" s="256" t="s">
        <v>77</v>
      </c>
      <c r="U11" s="256" t="s">
        <v>131</v>
      </c>
      <c r="V11" s="366" t="s">
        <v>81</v>
      </c>
      <c r="W11" s="366"/>
      <c r="X11" s="169"/>
      <c r="Y11" s="158"/>
      <c r="Z11" s="262" t="s">
        <v>131</v>
      </c>
      <c r="AA11" s="172" t="s">
        <v>132</v>
      </c>
      <c r="AB11" s="158"/>
      <c r="AC11" s="247"/>
      <c r="AD11" s="158"/>
      <c r="AE11" s="158"/>
      <c r="AF11" s="158"/>
      <c r="AG11" s="158"/>
      <c r="AH11" s="158"/>
      <c r="AI11" s="158"/>
      <c r="AJ11" s="158"/>
      <c r="AK11" s="158"/>
      <c r="AL11" s="18"/>
      <c r="AM11" s="18"/>
      <c r="AN11" s="18"/>
      <c r="AO11" s="18"/>
      <c r="AP11" s="18"/>
      <c r="AQ11" s="18"/>
      <c r="AR11" s="18"/>
      <c r="AS11" s="18"/>
      <c r="AT11" s="18"/>
      <c r="AU11" s="18"/>
      <c r="AV11" s="18"/>
      <c r="AW11" s="18"/>
      <c r="AX11" s="18"/>
      <c r="AY11" s="18"/>
      <c r="AZ11" s="18"/>
      <c r="BA11" s="18"/>
      <c r="BB11" s="18"/>
      <c r="BC11" s="18"/>
      <c r="BD11" s="18"/>
      <c r="BE11" s="18"/>
      <c r="BF11" s="18"/>
      <c r="BG11" s="157"/>
      <c r="BH11" s="157"/>
      <c r="BI11" s="157"/>
      <c r="BJ11" s="157"/>
      <c r="BK11" s="157"/>
      <c r="BL11" s="157"/>
      <c r="BM11" s="157"/>
      <c r="BN11" s="157"/>
      <c r="BO11" s="157"/>
      <c r="BP11" s="157"/>
      <c r="BQ11" s="157"/>
      <c r="BR11" s="157"/>
      <c r="BS11" s="157"/>
      <c r="BT11" s="157"/>
    </row>
    <row r="12" spans="2:72" s="20" customFormat="1" ht="14">
      <c r="B12" s="284" t="s">
        <v>376</v>
      </c>
      <c r="C12" s="165"/>
      <c r="D12" s="286" t="s">
        <v>386</v>
      </c>
      <c r="E12" s="166"/>
      <c r="F12" s="254" t="s">
        <v>433</v>
      </c>
      <c r="G12" s="255"/>
      <c r="H12" s="255"/>
      <c r="I12" s="255"/>
      <c r="J12" s="256" t="s">
        <v>78</v>
      </c>
      <c r="K12" s="256" t="s">
        <v>33</v>
      </c>
      <c r="L12" s="366" t="s">
        <v>130</v>
      </c>
      <c r="M12" s="366"/>
      <c r="N12" s="165"/>
      <c r="O12" s="165"/>
      <c r="P12" s="254" t="s">
        <v>433</v>
      </c>
      <c r="Q12" s="255"/>
      <c r="R12" s="255"/>
      <c r="S12" s="255"/>
      <c r="T12" s="256" t="s">
        <v>78</v>
      </c>
      <c r="U12" s="256" t="s">
        <v>33</v>
      </c>
      <c r="V12" s="366" t="s">
        <v>130</v>
      </c>
      <c r="W12" s="366"/>
      <c r="X12" s="169"/>
      <c r="Y12" s="158"/>
      <c r="Z12" s="263" t="s">
        <v>133</v>
      </c>
      <c r="AA12" s="172" t="s">
        <v>134</v>
      </c>
      <c r="AB12" s="158"/>
      <c r="AC12" s="247"/>
      <c r="AD12" s="158"/>
      <c r="AE12" s="158"/>
      <c r="AF12" s="158"/>
      <c r="AG12" s="158"/>
      <c r="AH12" s="158"/>
      <c r="AI12" s="158"/>
      <c r="AJ12" s="158"/>
      <c r="AK12" s="158"/>
      <c r="AL12" s="18"/>
      <c r="AM12" s="18"/>
      <c r="AN12" s="18"/>
      <c r="AO12" s="18"/>
      <c r="AP12" s="18"/>
      <c r="AQ12" s="18"/>
      <c r="AR12" s="18"/>
      <c r="AS12" s="18"/>
      <c r="AT12" s="18"/>
      <c r="AU12" s="18"/>
      <c r="AV12" s="18"/>
      <c r="AW12" s="18"/>
      <c r="AX12" s="18"/>
      <c r="AY12" s="18"/>
      <c r="AZ12" s="18"/>
      <c r="BA12" s="18"/>
      <c r="BB12" s="18"/>
      <c r="BC12" s="18"/>
      <c r="BD12" s="18"/>
      <c r="BE12" s="18"/>
      <c r="BF12" s="18"/>
      <c r="BG12" s="157"/>
      <c r="BH12" s="157"/>
      <c r="BI12" s="157"/>
      <c r="BJ12" s="157"/>
      <c r="BK12" s="157"/>
      <c r="BL12" s="157"/>
      <c r="BM12" s="157"/>
      <c r="BN12" s="157"/>
      <c r="BO12" s="157"/>
      <c r="BP12" s="157"/>
      <c r="BQ12" s="157"/>
      <c r="BR12" s="157"/>
      <c r="BS12" s="157"/>
      <c r="BT12" s="157"/>
    </row>
    <row r="13" spans="2:72" s="20" customFormat="1" ht="15" thickBot="1">
      <c r="B13" s="272" t="s">
        <v>120</v>
      </c>
      <c r="C13" s="285" t="s">
        <v>33</v>
      </c>
      <c r="D13" s="271" t="s">
        <v>228</v>
      </c>
      <c r="E13" s="166"/>
      <c r="F13" s="255"/>
      <c r="G13" s="252"/>
      <c r="H13" s="252"/>
      <c r="I13" s="252"/>
      <c r="J13" s="242"/>
      <c r="K13" s="177"/>
      <c r="L13" s="252"/>
      <c r="M13" s="174"/>
      <c r="N13" s="165"/>
      <c r="O13" s="165"/>
      <c r="P13" s="174"/>
      <c r="Q13" s="174"/>
      <c r="R13" s="174"/>
      <c r="S13" s="174"/>
      <c r="T13" s="174"/>
      <c r="U13" s="174"/>
      <c r="V13" s="174"/>
      <c r="W13" s="174"/>
      <c r="X13" s="169"/>
      <c r="Y13" s="158"/>
      <c r="Z13" s="262" t="s">
        <v>33</v>
      </c>
      <c r="AA13" s="172" t="s">
        <v>136</v>
      </c>
      <c r="AB13" s="158"/>
      <c r="AC13" s="247"/>
      <c r="AD13" s="158"/>
      <c r="AE13" s="158"/>
      <c r="AF13" s="158"/>
      <c r="AG13" s="158"/>
      <c r="AH13" s="158"/>
      <c r="AI13" s="158"/>
      <c r="AJ13" s="158"/>
      <c r="AK13" s="158"/>
      <c r="AL13" s="18"/>
      <c r="AM13" s="18"/>
      <c r="AN13" s="18"/>
      <c r="AO13" s="18"/>
      <c r="AP13" s="18"/>
      <c r="AQ13" s="18"/>
      <c r="AR13" s="18"/>
      <c r="AS13" s="18"/>
      <c r="AT13" s="18"/>
      <c r="AU13" s="18"/>
      <c r="AV13" s="18"/>
      <c r="AW13" s="18"/>
      <c r="AX13" s="18"/>
      <c r="AY13" s="18"/>
      <c r="AZ13" s="18"/>
      <c r="BA13" s="18"/>
      <c r="BB13" s="18"/>
      <c r="BC13" s="18"/>
      <c r="BD13" s="18"/>
      <c r="BE13" s="18"/>
      <c r="BF13" s="18"/>
      <c r="BG13" s="157"/>
      <c r="BH13" s="157"/>
      <c r="BI13" s="157"/>
      <c r="BJ13" s="157"/>
      <c r="BK13" s="157"/>
      <c r="BL13" s="157"/>
      <c r="BM13" s="157"/>
      <c r="BN13" s="157"/>
      <c r="BO13" s="157"/>
      <c r="BP13" s="157"/>
      <c r="BQ13" s="157"/>
      <c r="BR13" s="157"/>
      <c r="BS13" s="157"/>
      <c r="BT13" s="157"/>
    </row>
    <row r="14" spans="2:72" s="20" customFormat="1" ht="15" thickBot="1">
      <c r="B14" s="272" t="s">
        <v>124</v>
      </c>
      <c r="C14" s="273" t="s">
        <v>408</v>
      </c>
      <c r="D14" s="271" t="s">
        <v>135</v>
      </c>
      <c r="E14" s="166"/>
      <c r="F14" s="382" t="s">
        <v>139</v>
      </c>
      <c r="G14" s="383"/>
      <c r="H14" s="383"/>
      <c r="I14" s="384"/>
      <c r="J14" s="383" t="s">
        <v>140</v>
      </c>
      <c r="K14" s="383"/>
      <c r="L14" s="383"/>
      <c r="M14" s="384"/>
      <c r="N14" s="165"/>
      <c r="O14" s="165"/>
      <c r="P14" s="382" t="s">
        <v>141</v>
      </c>
      <c r="Q14" s="383"/>
      <c r="R14" s="383"/>
      <c r="S14" s="384"/>
      <c r="T14" s="383" t="s">
        <v>142</v>
      </c>
      <c r="U14" s="383"/>
      <c r="V14" s="383"/>
      <c r="W14" s="384"/>
      <c r="X14" s="169"/>
      <c r="Y14" s="158"/>
      <c r="Z14" s="262" t="s">
        <v>66</v>
      </c>
      <c r="AA14" s="172" t="s">
        <v>143</v>
      </c>
      <c r="AB14" s="158"/>
      <c r="AC14" s="247"/>
      <c r="AD14" s="158"/>
      <c r="AE14" s="158"/>
      <c r="AF14" s="158"/>
      <c r="AG14" s="158"/>
      <c r="AH14" s="158"/>
      <c r="AI14" s="158"/>
      <c r="AJ14" s="158"/>
      <c r="AK14" s="158"/>
      <c r="AL14" s="18"/>
      <c r="AM14" s="18"/>
      <c r="AN14" s="18"/>
      <c r="AO14" s="18"/>
      <c r="AP14" s="18"/>
      <c r="AQ14" s="18"/>
      <c r="AR14" s="18"/>
      <c r="AS14" s="18"/>
      <c r="AT14" s="18"/>
      <c r="AU14" s="18"/>
      <c r="AV14" s="18"/>
      <c r="AW14" s="18"/>
      <c r="AX14" s="18"/>
      <c r="AY14" s="18"/>
      <c r="AZ14" s="18"/>
      <c r="BA14" s="18"/>
      <c r="BB14" s="18"/>
      <c r="BC14" s="18"/>
      <c r="BD14" s="18"/>
      <c r="BE14" s="18"/>
      <c r="BF14" s="18"/>
      <c r="BG14" s="157"/>
      <c r="BH14" s="157"/>
      <c r="BI14" s="157"/>
      <c r="BJ14" s="157"/>
      <c r="BK14" s="157"/>
      <c r="BL14" s="157"/>
      <c r="BM14" s="157"/>
      <c r="BN14" s="157"/>
      <c r="BO14" s="157"/>
      <c r="BP14" s="157"/>
      <c r="BQ14" s="157"/>
      <c r="BR14" s="157"/>
      <c r="BS14" s="157"/>
      <c r="BT14" s="157"/>
    </row>
    <row r="15" spans="2:72" s="20" customFormat="1" ht="15" thickBot="1">
      <c r="B15" s="272" t="s">
        <v>128</v>
      </c>
      <c r="C15" s="273" t="s">
        <v>137</v>
      </c>
      <c r="D15" s="271" t="s">
        <v>138</v>
      </c>
      <c r="E15" s="166"/>
      <c r="F15" s="275" t="s">
        <v>146</v>
      </c>
      <c r="G15" s="276" t="s">
        <v>147</v>
      </c>
      <c r="H15" s="276" t="s">
        <v>423</v>
      </c>
      <c r="I15" s="277" t="s">
        <v>148</v>
      </c>
      <c r="J15" s="276" t="s">
        <v>146</v>
      </c>
      <c r="K15" s="276" t="s">
        <v>147</v>
      </c>
      <c r="L15" s="312" t="s">
        <v>423</v>
      </c>
      <c r="M15" s="277" t="s">
        <v>148</v>
      </c>
      <c r="N15" s="165"/>
      <c r="O15" s="165"/>
      <c r="P15" s="275" t="s">
        <v>146</v>
      </c>
      <c r="Q15" s="276" t="s">
        <v>147</v>
      </c>
      <c r="R15" s="312" t="s">
        <v>423</v>
      </c>
      <c r="S15" s="277" t="s">
        <v>148</v>
      </c>
      <c r="T15" s="275" t="s">
        <v>146</v>
      </c>
      <c r="U15" s="276" t="s">
        <v>147</v>
      </c>
      <c r="V15" s="312" t="s">
        <v>423</v>
      </c>
      <c r="W15" s="277" t="s">
        <v>148</v>
      </c>
      <c r="X15" s="169"/>
      <c r="Y15" s="158"/>
      <c r="Z15" s="262" t="s">
        <v>67</v>
      </c>
      <c r="AA15" s="172" t="s">
        <v>149</v>
      </c>
      <c r="AB15" s="158"/>
      <c r="AC15" s="247"/>
      <c r="AD15" s="158"/>
      <c r="AE15" s="158"/>
      <c r="AF15" s="158"/>
      <c r="AG15" s="158"/>
      <c r="AH15" s="158"/>
      <c r="AI15" s="158"/>
      <c r="AJ15" s="158"/>
      <c r="AK15" s="158"/>
      <c r="AL15" s="18"/>
      <c r="AM15" s="18"/>
      <c r="AN15" s="18"/>
      <c r="AO15" s="18"/>
      <c r="AP15" s="18"/>
      <c r="AQ15" s="18"/>
      <c r="AR15" s="18"/>
      <c r="AS15" s="18"/>
      <c r="AT15" s="18"/>
      <c r="AU15" s="18"/>
      <c r="AV15" s="18"/>
      <c r="AW15" s="18"/>
      <c r="AX15" s="18"/>
      <c r="AY15" s="18"/>
      <c r="AZ15" s="18"/>
      <c r="BA15" s="18"/>
      <c r="BB15" s="18"/>
      <c r="BC15" s="18"/>
      <c r="BD15" s="18"/>
      <c r="BE15" s="18"/>
      <c r="BF15" s="18"/>
      <c r="BG15" s="157"/>
      <c r="BH15" s="157"/>
      <c r="BI15" s="157"/>
      <c r="BJ15" s="157"/>
      <c r="BK15" s="157"/>
      <c r="BL15" s="157"/>
      <c r="BM15" s="157"/>
      <c r="BN15" s="157"/>
      <c r="BO15" s="157"/>
      <c r="BP15" s="157"/>
      <c r="BQ15" s="157"/>
      <c r="BR15" s="157"/>
      <c r="BS15" s="157"/>
      <c r="BT15" s="157"/>
    </row>
    <row r="16" spans="2:72" s="20" customFormat="1" ht="14">
      <c r="B16" s="272" t="s">
        <v>377</v>
      </c>
      <c r="C16" s="178" t="s">
        <v>144</v>
      </c>
      <c r="D16" s="271" t="s">
        <v>145</v>
      </c>
      <c r="E16" s="166"/>
      <c r="F16" s="253" t="s">
        <v>76</v>
      </c>
      <c r="G16" s="243" t="s">
        <v>125</v>
      </c>
      <c r="H16" s="181">
        <v>2</v>
      </c>
      <c r="I16" s="182">
        <v>5</v>
      </c>
      <c r="J16" s="253" t="s">
        <v>76</v>
      </c>
      <c r="K16" s="243" t="s">
        <v>450</v>
      </c>
      <c r="L16" s="181">
        <v>2</v>
      </c>
      <c r="M16" s="182">
        <v>20</v>
      </c>
      <c r="N16" s="165"/>
      <c r="O16" s="165"/>
      <c r="P16" s="253" t="s">
        <v>76</v>
      </c>
      <c r="Q16" s="243" t="s">
        <v>125</v>
      </c>
      <c r="R16" s="181">
        <v>2</v>
      </c>
      <c r="S16" s="182">
        <v>15</v>
      </c>
      <c r="T16" s="253" t="s">
        <v>34</v>
      </c>
      <c r="U16" s="243" t="s">
        <v>127</v>
      </c>
      <c r="V16" s="181">
        <v>1</v>
      </c>
      <c r="W16" s="182">
        <v>2</v>
      </c>
      <c r="X16" s="169"/>
      <c r="Y16" s="158"/>
      <c r="Z16" s="262" t="s">
        <v>34</v>
      </c>
      <c r="AA16" s="172" t="s">
        <v>152</v>
      </c>
      <c r="AB16" s="158"/>
      <c r="AC16" s="247"/>
      <c r="AD16" s="158"/>
      <c r="AE16" s="158"/>
      <c r="AF16" s="158"/>
      <c r="AG16" s="158"/>
      <c r="AH16" s="158"/>
      <c r="AI16" s="158"/>
      <c r="AJ16" s="158"/>
      <c r="AK16" s="158"/>
      <c r="AL16" s="18"/>
      <c r="AM16" s="18"/>
      <c r="AN16" s="18"/>
      <c r="AO16" s="18"/>
      <c r="AP16" s="18"/>
      <c r="AQ16" s="18"/>
      <c r="AR16" s="18"/>
      <c r="AS16" s="18"/>
      <c r="AT16" s="18"/>
      <c r="AU16" s="18"/>
      <c r="AV16" s="18"/>
      <c r="AW16" s="18"/>
      <c r="AX16" s="18"/>
      <c r="AY16" s="18"/>
      <c r="AZ16" s="18"/>
      <c r="BA16" s="18"/>
      <c r="BB16" s="18"/>
      <c r="BC16" s="18"/>
      <c r="BD16" s="18"/>
      <c r="BE16" s="18"/>
      <c r="BF16" s="18"/>
      <c r="BG16" s="157"/>
      <c r="BH16" s="157"/>
      <c r="BI16" s="157"/>
      <c r="BJ16" s="157"/>
      <c r="BK16" s="157"/>
      <c r="BL16" s="157"/>
      <c r="BM16" s="157"/>
      <c r="BN16" s="157"/>
      <c r="BO16" s="157"/>
      <c r="BP16" s="157"/>
      <c r="BQ16" s="157"/>
      <c r="BR16" s="157"/>
      <c r="BS16" s="157"/>
      <c r="BT16" s="157"/>
    </row>
    <row r="17" spans="2:72" s="20" customFormat="1" ht="14">
      <c r="B17" s="175"/>
      <c r="C17" s="178" t="s">
        <v>150</v>
      </c>
      <c r="D17" s="271" t="s">
        <v>151</v>
      </c>
      <c r="E17" s="166"/>
      <c r="F17" s="253" t="s">
        <v>130</v>
      </c>
      <c r="G17" s="243" t="s">
        <v>186</v>
      </c>
      <c r="H17" s="181">
        <v>4</v>
      </c>
      <c r="I17" s="182">
        <v>10</v>
      </c>
      <c r="J17" s="253" t="s">
        <v>130</v>
      </c>
      <c r="K17" s="243" t="s">
        <v>159</v>
      </c>
      <c r="L17" s="181">
        <v>1</v>
      </c>
      <c r="M17" s="182">
        <v>2</v>
      </c>
      <c r="N17" s="165"/>
      <c r="O17" s="165"/>
      <c r="P17" s="253" t="s">
        <v>130</v>
      </c>
      <c r="Q17" s="243" t="s">
        <v>186</v>
      </c>
      <c r="R17" s="181">
        <v>2</v>
      </c>
      <c r="S17" s="182">
        <v>60</v>
      </c>
      <c r="T17" s="253" t="s">
        <v>34</v>
      </c>
      <c r="U17" s="243" t="s">
        <v>127</v>
      </c>
      <c r="V17" s="181">
        <v>4</v>
      </c>
      <c r="W17" s="182">
        <v>2</v>
      </c>
      <c r="X17" s="169"/>
      <c r="Y17" s="158"/>
      <c r="Z17" s="262" t="s">
        <v>81</v>
      </c>
      <c r="AA17" s="172" t="s">
        <v>156</v>
      </c>
      <c r="AB17" s="158"/>
      <c r="AC17" s="247"/>
      <c r="AD17" s="158"/>
      <c r="AE17" s="158"/>
      <c r="AF17" s="158"/>
      <c r="AG17" s="158"/>
      <c r="AH17" s="158"/>
      <c r="AI17" s="158"/>
      <c r="AJ17" s="158"/>
      <c r="AK17" s="158"/>
      <c r="AL17" s="18"/>
      <c r="AM17" s="18"/>
      <c r="AN17" s="18"/>
      <c r="AO17" s="18"/>
      <c r="AP17" s="18"/>
      <c r="AQ17" s="18"/>
      <c r="AR17" s="18"/>
      <c r="AS17" s="18"/>
      <c r="AT17" s="18"/>
      <c r="AU17" s="18"/>
      <c r="AV17" s="18"/>
      <c r="AW17" s="18"/>
      <c r="AX17" s="18"/>
      <c r="AY17" s="18"/>
      <c r="AZ17" s="18"/>
      <c r="BA17" s="18"/>
      <c r="BB17" s="18"/>
      <c r="BC17" s="18"/>
      <c r="BD17" s="18"/>
      <c r="BE17" s="18"/>
      <c r="BF17" s="18"/>
      <c r="BG17" s="157"/>
      <c r="BH17" s="157"/>
      <c r="BI17" s="157"/>
      <c r="BJ17" s="157"/>
      <c r="BK17" s="157"/>
      <c r="BL17" s="157"/>
      <c r="BM17" s="157"/>
      <c r="BN17" s="157"/>
      <c r="BO17" s="157"/>
      <c r="BP17" s="157"/>
      <c r="BQ17" s="157"/>
      <c r="BR17" s="157"/>
      <c r="BS17" s="157"/>
      <c r="BT17" s="157"/>
    </row>
    <row r="18" spans="2:72" ht="14">
      <c r="B18" s="284" t="s">
        <v>374</v>
      </c>
      <c r="C18" s="273" t="s">
        <v>153</v>
      </c>
      <c r="D18" s="271" t="s">
        <v>154</v>
      </c>
      <c r="E18" s="26"/>
      <c r="F18" s="253" t="s">
        <v>130</v>
      </c>
      <c r="G18" s="243" t="s">
        <v>449</v>
      </c>
      <c r="H18" s="181">
        <v>3</v>
      </c>
      <c r="I18" s="182">
        <v>4</v>
      </c>
      <c r="J18" s="253" t="s">
        <v>130</v>
      </c>
      <c r="K18" s="243" t="s">
        <v>159</v>
      </c>
      <c r="L18" s="181">
        <v>3</v>
      </c>
      <c r="M18" s="182">
        <v>10</v>
      </c>
      <c r="N18" s="165"/>
      <c r="O18" s="165"/>
      <c r="P18" s="253" t="s">
        <v>373</v>
      </c>
      <c r="Q18" s="243" t="s">
        <v>161</v>
      </c>
      <c r="R18" s="181">
        <v>7</v>
      </c>
      <c r="S18" s="182">
        <v>1</v>
      </c>
      <c r="T18" s="253" t="s">
        <v>133</v>
      </c>
      <c r="U18" s="243" t="s">
        <v>213</v>
      </c>
      <c r="V18" s="181">
        <v>6</v>
      </c>
      <c r="W18" s="182">
        <v>1</v>
      </c>
      <c r="X18" s="169"/>
      <c r="Y18" s="158"/>
      <c r="Z18" s="262" t="s">
        <v>130</v>
      </c>
      <c r="AA18" s="172" t="s">
        <v>160</v>
      </c>
      <c r="AC18" s="247"/>
    </row>
    <row r="19" spans="2:72" ht="14">
      <c r="B19" s="272" t="s">
        <v>136</v>
      </c>
      <c r="C19" s="273" t="s">
        <v>157</v>
      </c>
      <c r="D19" s="271" t="s">
        <v>158</v>
      </c>
      <c r="E19" s="26"/>
      <c r="F19" s="253" t="s">
        <v>133</v>
      </c>
      <c r="G19" s="243" t="s">
        <v>213</v>
      </c>
      <c r="H19" s="181">
        <v>3</v>
      </c>
      <c r="I19" s="182">
        <v>2</v>
      </c>
      <c r="J19" s="253" t="s">
        <v>130</v>
      </c>
      <c r="K19" s="243" t="s">
        <v>186</v>
      </c>
      <c r="L19" s="181">
        <v>4</v>
      </c>
      <c r="M19" s="182">
        <v>8</v>
      </c>
      <c r="N19" s="165"/>
      <c r="O19" s="165"/>
      <c r="P19" s="253" t="s">
        <v>78</v>
      </c>
      <c r="Q19" s="243" t="s">
        <v>124</v>
      </c>
      <c r="R19" s="181">
        <v>3</v>
      </c>
      <c r="S19" s="182">
        <v>4</v>
      </c>
      <c r="T19" s="253" t="s">
        <v>133</v>
      </c>
      <c r="U19" s="243" t="s">
        <v>227</v>
      </c>
      <c r="V19" s="181">
        <v>2</v>
      </c>
      <c r="W19" s="182">
        <v>5</v>
      </c>
      <c r="X19" s="169"/>
      <c r="Y19" s="158"/>
      <c r="AA19" s="172" t="s">
        <v>164</v>
      </c>
      <c r="AC19" s="247"/>
    </row>
    <row r="20" spans="2:72" s="20" customFormat="1" ht="14">
      <c r="B20" s="272" t="s">
        <v>161</v>
      </c>
      <c r="C20" s="273" t="s">
        <v>409</v>
      </c>
      <c r="D20" s="271" t="s">
        <v>339</v>
      </c>
      <c r="E20" s="166"/>
      <c r="F20" s="253" t="s">
        <v>78</v>
      </c>
      <c r="G20" s="243" t="s">
        <v>128</v>
      </c>
      <c r="H20" s="181">
        <v>3</v>
      </c>
      <c r="I20" s="182">
        <v>3</v>
      </c>
      <c r="J20" s="253" t="s">
        <v>130</v>
      </c>
      <c r="K20" s="243" t="s">
        <v>449</v>
      </c>
      <c r="L20" s="181">
        <v>4</v>
      </c>
      <c r="M20" s="182">
        <v>6</v>
      </c>
      <c r="N20" s="165"/>
      <c r="O20" s="165"/>
      <c r="P20" s="253" t="s">
        <v>78</v>
      </c>
      <c r="Q20" s="243" t="s">
        <v>128</v>
      </c>
      <c r="R20" s="181">
        <v>4</v>
      </c>
      <c r="S20" s="182">
        <v>50</v>
      </c>
      <c r="T20" s="253" t="s">
        <v>133</v>
      </c>
      <c r="U20" s="243" t="s">
        <v>232</v>
      </c>
      <c r="V20" s="181">
        <v>3</v>
      </c>
      <c r="W20" s="182">
        <v>4</v>
      </c>
      <c r="X20" s="169"/>
      <c r="Y20" s="158"/>
      <c r="Z20" s="269"/>
      <c r="AA20" s="172" t="s">
        <v>167</v>
      </c>
      <c r="AB20" s="158"/>
      <c r="AC20" s="247"/>
      <c r="AD20" s="158"/>
      <c r="AE20" s="158"/>
      <c r="AF20" s="158"/>
      <c r="AG20" s="158"/>
      <c r="AH20" s="158"/>
      <c r="AI20" s="158"/>
      <c r="AJ20" s="158"/>
      <c r="AK20" s="158"/>
      <c r="AL20" s="18"/>
      <c r="AM20" s="18"/>
      <c r="AN20" s="18"/>
      <c r="AO20" s="18"/>
      <c r="AP20" s="18"/>
      <c r="AQ20" s="18"/>
      <c r="AR20" s="18"/>
      <c r="AS20" s="18"/>
      <c r="AT20" s="18"/>
      <c r="AU20" s="18"/>
      <c r="AV20" s="18"/>
      <c r="AW20" s="18"/>
      <c r="AX20" s="18"/>
      <c r="AY20" s="18"/>
      <c r="AZ20" s="18"/>
      <c r="BA20" s="18"/>
      <c r="BB20" s="18"/>
      <c r="BC20" s="18"/>
      <c r="BD20" s="18"/>
      <c r="BE20" s="18"/>
      <c r="BF20" s="18"/>
      <c r="BG20" s="157"/>
      <c r="BH20" s="157"/>
      <c r="BI20" s="157"/>
      <c r="BJ20" s="157"/>
      <c r="BK20" s="157"/>
      <c r="BL20" s="157"/>
      <c r="BM20" s="157"/>
      <c r="BN20" s="157"/>
      <c r="BO20" s="157"/>
      <c r="BP20" s="157"/>
      <c r="BQ20" s="157"/>
      <c r="BR20" s="157"/>
      <c r="BS20" s="157"/>
      <c r="BT20" s="157"/>
    </row>
    <row r="21" spans="2:72" s="20" customFormat="1" ht="14">
      <c r="B21" s="272" t="s">
        <v>165</v>
      </c>
      <c r="C21" s="273" t="s">
        <v>162</v>
      </c>
      <c r="D21" s="169"/>
      <c r="E21" s="166"/>
      <c r="F21" s="253" t="s">
        <v>133</v>
      </c>
      <c r="G21" s="243" t="s">
        <v>446</v>
      </c>
      <c r="H21" s="181">
        <v>3</v>
      </c>
      <c r="I21" s="182">
        <v>13</v>
      </c>
      <c r="J21" s="321" t="s">
        <v>130</v>
      </c>
      <c r="K21" s="321" t="s">
        <v>186</v>
      </c>
      <c r="L21" s="321">
        <v>4</v>
      </c>
      <c r="M21" s="321">
        <v>10</v>
      </c>
      <c r="N21" s="165"/>
      <c r="O21" s="165"/>
      <c r="P21" s="253" t="s">
        <v>133</v>
      </c>
      <c r="Q21" s="243" t="s">
        <v>446</v>
      </c>
      <c r="R21" s="181">
        <v>3</v>
      </c>
      <c r="S21" s="182">
        <v>4</v>
      </c>
      <c r="T21" s="253" t="s">
        <v>33</v>
      </c>
      <c r="U21" s="243" t="s">
        <v>169</v>
      </c>
      <c r="V21" s="181">
        <v>6</v>
      </c>
      <c r="W21" s="182">
        <v>3</v>
      </c>
      <c r="X21" s="169"/>
      <c r="Y21" s="158"/>
      <c r="Z21" s="258"/>
      <c r="AA21" s="172" t="s">
        <v>170</v>
      </c>
      <c r="AB21" s="158"/>
      <c r="AC21" s="247"/>
      <c r="AD21" s="158"/>
      <c r="AE21" s="158"/>
      <c r="AF21" s="158"/>
      <c r="AG21" s="158"/>
      <c r="AH21" s="158"/>
      <c r="AI21" s="158"/>
      <c r="AJ21" s="158"/>
      <c r="AK21" s="158"/>
      <c r="AL21" s="18"/>
      <c r="AM21" s="18"/>
      <c r="AN21" s="18"/>
      <c r="AO21" s="18"/>
      <c r="AP21" s="18"/>
      <c r="AQ21" s="18"/>
      <c r="AR21" s="18"/>
      <c r="AS21" s="18"/>
      <c r="AT21" s="18"/>
      <c r="AU21" s="18"/>
      <c r="AV21" s="18"/>
      <c r="AW21" s="18"/>
      <c r="AX21" s="18"/>
      <c r="AY21" s="18"/>
      <c r="AZ21" s="18"/>
      <c r="BA21" s="18"/>
      <c r="BB21" s="18"/>
      <c r="BC21" s="18"/>
      <c r="BD21" s="18"/>
      <c r="BE21" s="18"/>
      <c r="BF21" s="18"/>
      <c r="BG21" s="157"/>
      <c r="BH21" s="157"/>
      <c r="BI21" s="157"/>
      <c r="BJ21" s="157"/>
      <c r="BK21" s="157"/>
      <c r="BL21" s="157"/>
      <c r="BM21" s="157"/>
      <c r="BN21" s="157"/>
      <c r="BO21" s="157"/>
      <c r="BP21" s="157"/>
      <c r="BQ21" s="157"/>
      <c r="BR21" s="157"/>
      <c r="BS21" s="157"/>
      <c r="BT21" s="157"/>
    </row>
    <row r="22" spans="2:72" s="20" customFormat="1" ht="14">
      <c r="B22" s="272" t="s">
        <v>168</v>
      </c>
      <c r="C22" s="273" t="s">
        <v>166</v>
      </c>
      <c r="D22" s="286" t="s">
        <v>375</v>
      </c>
      <c r="E22" s="166"/>
      <c r="F22" s="253" t="s">
        <v>133</v>
      </c>
      <c r="G22" s="243" t="s">
        <v>445</v>
      </c>
      <c r="H22" s="181">
        <v>2</v>
      </c>
      <c r="I22" s="182">
        <v>6</v>
      </c>
      <c r="J22" s="253" t="s">
        <v>451</v>
      </c>
      <c r="K22" s="243" t="s">
        <v>452</v>
      </c>
      <c r="L22" s="181">
        <v>5</v>
      </c>
      <c r="M22" s="182">
        <v>2</v>
      </c>
      <c r="N22" s="165"/>
      <c r="O22" s="165"/>
      <c r="P22" s="253" t="s">
        <v>33</v>
      </c>
      <c r="Q22" s="243" t="s">
        <v>144</v>
      </c>
      <c r="R22" s="181">
        <v>2</v>
      </c>
      <c r="S22" s="182">
        <v>5</v>
      </c>
      <c r="T22" s="253" t="s">
        <v>33</v>
      </c>
      <c r="U22" s="243" t="s">
        <v>144</v>
      </c>
      <c r="V22" s="181">
        <v>1</v>
      </c>
      <c r="W22" s="182">
        <v>4</v>
      </c>
      <c r="X22" s="169"/>
      <c r="Y22" s="158"/>
      <c r="Z22" s="264"/>
      <c r="AA22" s="172" t="s">
        <v>172</v>
      </c>
      <c r="AB22" s="158"/>
      <c r="AC22" s="247"/>
      <c r="AD22" s="158"/>
      <c r="AE22" s="158"/>
      <c r="AF22" s="158"/>
      <c r="AG22" s="158"/>
      <c r="AH22" s="158"/>
      <c r="AI22" s="158"/>
      <c r="AJ22" s="158"/>
      <c r="AK22" s="158"/>
      <c r="AL22" s="18"/>
      <c r="AM22" s="18"/>
      <c r="AN22" s="18"/>
      <c r="AO22" s="18"/>
      <c r="AP22" s="18"/>
      <c r="AQ22" s="18"/>
      <c r="AR22" s="18"/>
      <c r="AS22" s="18"/>
      <c r="AT22" s="18"/>
      <c r="AU22" s="18"/>
      <c r="AV22" s="18"/>
      <c r="AW22" s="18"/>
      <c r="AX22" s="18"/>
      <c r="AY22" s="18"/>
      <c r="AZ22" s="18"/>
      <c r="BA22" s="18"/>
      <c r="BB22" s="18"/>
      <c r="BC22" s="18"/>
      <c r="BD22" s="18"/>
      <c r="BE22" s="18"/>
      <c r="BF22" s="18"/>
      <c r="BG22" s="157"/>
      <c r="BH22" s="157"/>
      <c r="BI22" s="157"/>
      <c r="BJ22" s="157"/>
      <c r="BK22" s="157"/>
      <c r="BL22" s="157"/>
      <c r="BM22" s="157"/>
      <c r="BN22" s="157"/>
      <c r="BO22" s="157"/>
      <c r="BP22" s="157"/>
      <c r="BQ22" s="157"/>
      <c r="BR22" s="157"/>
      <c r="BS22" s="157"/>
      <c r="BT22" s="157"/>
    </row>
    <row r="23" spans="2:72" s="20" customFormat="1" ht="14">
      <c r="B23" s="272" t="s">
        <v>171</v>
      </c>
      <c r="C23" s="273" t="s">
        <v>169</v>
      </c>
      <c r="D23" s="271" t="s">
        <v>152</v>
      </c>
      <c r="E23" s="166"/>
      <c r="F23" s="253"/>
      <c r="G23" s="243"/>
      <c r="H23" s="181"/>
      <c r="I23" s="182"/>
      <c r="J23" s="253" t="s">
        <v>390</v>
      </c>
      <c r="K23" s="243" t="s">
        <v>154</v>
      </c>
      <c r="L23" s="181">
        <v>4</v>
      </c>
      <c r="M23" s="182">
        <v>5</v>
      </c>
      <c r="N23" s="165"/>
      <c r="O23" s="165"/>
      <c r="P23" s="253" t="s">
        <v>33</v>
      </c>
      <c r="Q23" s="243" t="s">
        <v>144</v>
      </c>
      <c r="R23" s="181">
        <v>1</v>
      </c>
      <c r="S23" s="182">
        <v>1</v>
      </c>
      <c r="T23" s="253"/>
      <c r="U23" s="243"/>
      <c r="V23" s="181"/>
      <c r="W23" s="182"/>
      <c r="X23" s="169"/>
      <c r="Y23" s="158"/>
      <c r="Z23" s="258"/>
      <c r="AA23" s="172" t="s">
        <v>408</v>
      </c>
      <c r="AB23" s="158"/>
      <c r="AC23" s="247"/>
      <c r="AD23" s="158"/>
      <c r="AE23" s="158"/>
      <c r="AF23" s="158"/>
      <c r="AG23" s="158"/>
      <c r="AH23" s="158"/>
      <c r="AI23" s="158"/>
      <c r="AJ23" s="158"/>
      <c r="AK23" s="158"/>
      <c r="AL23" s="18"/>
      <c r="AM23" s="18"/>
      <c r="AN23" s="18"/>
      <c r="AO23" s="18"/>
      <c r="AP23" s="18"/>
      <c r="AQ23" s="18"/>
      <c r="AR23" s="18"/>
      <c r="AS23" s="18"/>
      <c r="AT23" s="18"/>
      <c r="AU23" s="18"/>
      <c r="AV23" s="18"/>
      <c r="AW23" s="18"/>
      <c r="AX23" s="18"/>
      <c r="AY23" s="18"/>
      <c r="AZ23" s="18"/>
      <c r="BA23" s="18"/>
      <c r="BB23" s="18"/>
      <c r="BC23" s="18"/>
      <c r="BD23" s="18"/>
      <c r="BE23" s="18"/>
      <c r="BF23" s="18"/>
      <c r="BG23" s="157"/>
      <c r="BH23" s="157"/>
      <c r="BI23" s="157"/>
      <c r="BJ23" s="157"/>
      <c r="BK23" s="157"/>
      <c r="BL23" s="157"/>
      <c r="BM23" s="157"/>
      <c r="BN23" s="157"/>
      <c r="BO23" s="157"/>
      <c r="BP23" s="157"/>
      <c r="BQ23" s="157"/>
      <c r="BR23" s="157"/>
      <c r="BS23" s="157"/>
      <c r="BT23" s="157"/>
    </row>
    <row r="24" spans="2:72" s="20" customFormat="1" ht="14">
      <c r="B24" s="272" t="s">
        <v>173</v>
      </c>
      <c r="C24" s="165"/>
      <c r="D24" s="271" t="s">
        <v>156</v>
      </c>
      <c r="E24" s="166"/>
      <c r="F24" s="253"/>
      <c r="G24" s="243"/>
      <c r="H24" s="181"/>
      <c r="I24" s="182"/>
      <c r="J24" s="253" t="s">
        <v>390</v>
      </c>
      <c r="K24" s="243" t="s">
        <v>135</v>
      </c>
      <c r="L24" s="181">
        <v>4</v>
      </c>
      <c r="M24" s="182">
        <v>3</v>
      </c>
      <c r="N24" s="165"/>
      <c r="O24" s="165"/>
      <c r="P24" s="253" t="s">
        <v>133</v>
      </c>
      <c r="Q24" s="243" t="s">
        <v>223</v>
      </c>
      <c r="R24" s="181">
        <v>4</v>
      </c>
      <c r="S24" s="182">
        <v>1</v>
      </c>
      <c r="T24" s="253"/>
      <c r="U24" s="243"/>
      <c r="V24" s="181"/>
      <c r="W24" s="182"/>
      <c r="X24" s="169"/>
      <c r="Y24" s="158"/>
      <c r="Z24" s="258"/>
      <c r="AA24" s="172" t="s">
        <v>137</v>
      </c>
      <c r="AB24" s="158"/>
      <c r="AC24" s="247"/>
      <c r="AD24" s="158"/>
      <c r="AE24" s="158"/>
      <c r="AF24" s="158"/>
      <c r="AG24" s="158"/>
      <c r="AH24" s="158"/>
      <c r="AI24" s="158"/>
      <c r="AJ24" s="158"/>
      <c r="AK24" s="158"/>
      <c r="AL24" s="18"/>
      <c r="AM24" s="18"/>
      <c r="AN24" s="18"/>
      <c r="AO24" s="18"/>
      <c r="AP24" s="18"/>
      <c r="AQ24" s="18"/>
      <c r="AR24" s="18"/>
      <c r="AS24" s="18"/>
      <c r="AT24" s="18"/>
      <c r="AU24" s="18"/>
      <c r="AV24" s="18"/>
      <c r="AW24" s="18"/>
      <c r="AX24" s="18"/>
      <c r="AY24" s="18"/>
      <c r="AZ24" s="18"/>
      <c r="BA24" s="18"/>
      <c r="BB24" s="18"/>
      <c r="BC24" s="18"/>
      <c r="BD24" s="18"/>
      <c r="BE24" s="18"/>
      <c r="BF24" s="18"/>
      <c r="BG24" s="157"/>
      <c r="BH24" s="157"/>
      <c r="BI24" s="157"/>
      <c r="BJ24" s="157"/>
      <c r="BK24" s="157"/>
      <c r="BL24" s="157"/>
      <c r="BM24" s="157"/>
      <c r="BN24" s="157"/>
      <c r="BO24" s="157"/>
      <c r="BP24" s="157"/>
      <c r="BQ24" s="157"/>
      <c r="BR24" s="157"/>
      <c r="BS24" s="157"/>
      <c r="BT24" s="157"/>
    </row>
    <row r="25" spans="2:72" s="20" customFormat="1" ht="14">
      <c r="B25" s="272" t="s">
        <v>175</v>
      </c>
      <c r="C25" s="285" t="s">
        <v>66</v>
      </c>
      <c r="D25" s="271" t="s">
        <v>160</v>
      </c>
      <c r="E25" s="166"/>
      <c r="F25" s="253"/>
      <c r="G25" s="243"/>
      <c r="H25" s="181"/>
      <c r="I25" s="182"/>
      <c r="J25" s="253" t="s">
        <v>78</v>
      </c>
      <c r="K25" s="243" t="s">
        <v>128</v>
      </c>
      <c r="L25" s="181">
        <v>6</v>
      </c>
      <c r="M25" s="182">
        <v>13</v>
      </c>
      <c r="N25" s="165"/>
      <c r="O25" s="165"/>
      <c r="P25" s="253"/>
      <c r="Q25" s="243"/>
      <c r="R25" s="181"/>
      <c r="S25" s="182"/>
      <c r="T25" s="253"/>
      <c r="U25" s="243"/>
      <c r="V25" s="181"/>
      <c r="W25" s="182"/>
      <c r="X25" s="169"/>
      <c r="Y25" s="158"/>
      <c r="Z25" s="258"/>
      <c r="AA25" s="172" t="s">
        <v>177</v>
      </c>
      <c r="AB25" s="158"/>
      <c r="AC25" s="247"/>
      <c r="AD25" s="158"/>
      <c r="AE25" s="158"/>
      <c r="AF25" s="158"/>
      <c r="AG25" s="158"/>
      <c r="AH25" s="158"/>
      <c r="AI25" s="158"/>
      <c r="AJ25" s="158"/>
      <c r="AK25" s="158"/>
      <c r="AL25" s="18"/>
      <c r="AM25" s="18"/>
      <c r="AN25" s="18"/>
      <c r="AO25" s="18"/>
      <c r="AP25" s="18"/>
      <c r="AQ25" s="18"/>
      <c r="AR25" s="18"/>
      <c r="AS25" s="18"/>
      <c r="AT25" s="18"/>
      <c r="AU25" s="18"/>
      <c r="AV25" s="18"/>
      <c r="AW25" s="18"/>
      <c r="AX25" s="18"/>
      <c r="AY25" s="18"/>
      <c r="AZ25" s="18"/>
      <c r="BA25" s="18"/>
      <c r="BB25" s="18"/>
      <c r="BC25" s="18"/>
      <c r="BD25" s="18"/>
      <c r="BE25" s="18"/>
      <c r="BF25" s="18"/>
      <c r="BG25" s="157"/>
      <c r="BH25" s="157"/>
      <c r="BI25" s="157"/>
      <c r="BJ25" s="157"/>
      <c r="BK25" s="157"/>
      <c r="BL25" s="157"/>
      <c r="BM25" s="157"/>
      <c r="BN25" s="157"/>
      <c r="BO25" s="157"/>
      <c r="BP25" s="157"/>
      <c r="BQ25" s="157"/>
      <c r="BR25" s="157"/>
      <c r="BS25" s="157"/>
      <c r="BT25" s="157"/>
    </row>
    <row r="26" spans="2:72" s="20" customFormat="1" ht="14">
      <c r="B26" s="272" t="s">
        <v>178</v>
      </c>
      <c r="C26" s="273" t="s">
        <v>176</v>
      </c>
      <c r="D26" s="271" t="s">
        <v>159</v>
      </c>
      <c r="E26" s="166"/>
      <c r="F26" s="253"/>
      <c r="G26" s="243"/>
      <c r="H26" s="181"/>
      <c r="I26" s="182"/>
      <c r="J26" s="253" t="s">
        <v>67</v>
      </c>
      <c r="K26" s="243" t="s">
        <v>185</v>
      </c>
      <c r="L26" s="181">
        <v>80</v>
      </c>
      <c r="M26" s="182">
        <v>1</v>
      </c>
      <c r="N26" s="165"/>
      <c r="O26" s="165"/>
      <c r="P26" s="253"/>
      <c r="Q26" s="243"/>
      <c r="R26" s="181"/>
      <c r="S26" s="182"/>
      <c r="T26" s="253"/>
      <c r="U26" s="243"/>
      <c r="V26" s="181"/>
      <c r="W26" s="182"/>
      <c r="X26" s="169"/>
      <c r="Y26" s="158"/>
      <c r="Z26" s="258"/>
      <c r="AA26" s="172" t="s">
        <v>180</v>
      </c>
      <c r="AB26" s="158"/>
      <c r="AC26" s="247"/>
      <c r="AD26" s="158"/>
      <c r="AE26" s="158"/>
      <c r="AF26" s="158"/>
      <c r="AG26" s="158"/>
      <c r="AH26" s="158"/>
      <c r="AI26" s="158"/>
      <c r="AJ26" s="158"/>
      <c r="AK26" s="158"/>
      <c r="AL26" s="18"/>
      <c r="AM26" s="18"/>
      <c r="AN26" s="18"/>
      <c r="AO26" s="18"/>
      <c r="AP26" s="18"/>
      <c r="AQ26" s="18"/>
      <c r="AR26" s="18"/>
      <c r="AS26" s="18"/>
      <c r="AT26" s="18"/>
      <c r="AU26" s="18"/>
      <c r="AV26" s="18"/>
      <c r="AW26" s="18"/>
      <c r="AX26" s="18"/>
      <c r="AY26" s="18"/>
      <c r="AZ26" s="18"/>
      <c r="BA26" s="18"/>
      <c r="BB26" s="18"/>
      <c r="BC26" s="18"/>
      <c r="BD26" s="18"/>
      <c r="BE26" s="18"/>
      <c r="BF26" s="18"/>
      <c r="BG26" s="157"/>
      <c r="BH26" s="157"/>
      <c r="BI26" s="157"/>
      <c r="BJ26" s="157"/>
      <c r="BK26" s="157"/>
      <c r="BL26" s="157"/>
      <c r="BM26" s="157"/>
      <c r="BN26" s="157"/>
      <c r="BO26" s="157"/>
      <c r="BP26" s="157"/>
      <c r="BQ26" s="157"/>
      <c r="BR26" s="157"/>
      <c r="BS26" s="157"/>
      <c r="BT26" s="157"/>
    </row>
    <row r="27" spans="2:72" s="20" customFormat="1" ht="14">
      <c r="B27" s="272" t="s">
        <v>181</v>
      </c>
      <c r="C27" s="273" t="s">
        <v>179</v>
      </c>
      <c r="D27" s="271" t="s">
        <v>182</v>
      </c>
      <c r="E27" s="166"/>
      <c r="F27" s="253"/>
      <c r="G27" s="243"/>
      <c r="H27" s="181"/>
      <c r="I27" s="182"/>
      <c r="J27" s="253" t="s">
        <v>33</v>
      </c>
      <c r="K27" s="243" t="s">
        <v>169</v>
      </c>
      <c r="L27" s="181">
        <v>5</v>
      </c>
      <c r="M27" s="182">
        <v>5</v>
      </c>
      <c r="N27" s="165"/>
      <c r="O27" s="165"/>
      <c r="P27" s="253"/>
      <c r="Q27" s="243"/>
      <c r="R27" s="181"/>
      <c r="S27" s="182"/>
      <c r="T27" s="253"/>
      <c r="U27" s="243"/>
      <c r="V27" s="181"/>
      <c r="W27" s="182"/>
      <c r="X27" s="169"/>
      <c r="Y27" s="158"/>
      <c r="Z27" s="258"/>
      <c r="AA27" s="172" t="s">
        <v>183</v>
      </c>
      <c r="AB27" s="158"/>
      <c r="AC27" s="247"/>
      <c r="AD27" s="158"/>
      <c r="AE27" s="158"/>
      <c r="AF27" s="158"/>
      <c r="AG27" s="158"/>
      <c r="AH27" s="158"/>
      <c r="AI27" s="158"/>
      <c r="AJ27" s="158"/>
      <c r="AK27" s="158"/>
      <c r="AL27" s="18"/>
      <c r="AM27" s="18"/>
      <c r="AN27" s="18"/>
      <c r="AO27" s="18"/>
      <c r="AP27" s="18"/>
      <c r="AQ27" s="18"/>
      <c r="AR27" s="18"/>
      <c r="AS27" s="18"/>
      <c r="AT27" s="18"/>
      <c r="AU27" s="18"/>
      <c r="AV27" s="18"/>
      <c r="AW27" s="18"/>
      <c r="AX27" s="18"/>
      <c r="AY27" s="18"/>
      <c r="AZ27" s="18"/>
      <c r="BA27" s="18"/>
      <c r="BB27" s="18"/>
      <c r="BC27" s="18"/>
      <c r="BD27" s="18"/>
      <c r="BE27" s="18"/>
      <c r="BF27" s="18"/>
      <c r="BG27" s="157"/>
      <c r="BH27" s="157"/>
      <c r="BI27" s="157"/>
      <c r="BJ27" s="157"/>
      <c r="BK27" s="157"/>
      <c r="BL27" s="157"/>
      <c r="BM27" s="157"/>
      <c r="BN27" s="157"/>
      <c r="BO27" s="157"/>
      <c r="BP27" s="157"/>
      <c r="BQ27" s="157"/>
      <c r="BR27" s="157"/>
      <c r="BS27" s="157"/>
      <c r="BT27" s="157"/>
    </row>
    <row r="28" spans="2:72" s="20" customFormat="1" ht="14">
      <c r="B28" s="272"/>
      <c r="C28" s="165"/>
      <c r="D28" s="271" t="s">
        <v>174</v>
      </c>
      <c r="E28" s="166"/>
      <c r="F28" s="253"/>
      <c r="G28" s="243"/>
      <c r="H28" s="181"/>
      <c r="I28" s="182"/>
      <c r="J28" s="253" t="s">
        <v>33</v>
      </c>
      <c r="K28" s="243" t="s">
        <v>169</v>
      </c>
      <c r="L28" s="181">
        <v>3</v>
      </c>
      <c r="M28" s="182">
        <v>5</v>
      </c>
      <c r="N28" s="165"/>
      <c r="O28" s="165"/>
      <c r="P28" s="253"/>
      <c r="Q28" s="243"/>
      <c r="R28" s="181"/>
      <c r="S28" s="182"/>
      <c r="T28" s="253"/>
      <c r="U28" s="243"/>
      <c r="V28" s="181"/>
      <c r="W28" s="182"/>
      <c r="X28" s="169"/>
      <c r="Y28" s="158"/>
      <c r="Z28" s="264"/>
      <c r="AA28" s="172" t="s">
        <v>184</v>
      </c>
      <c r="AB28" s="158"/>
      <c r="AC28" s="247"/>
      <c r="AD28" s="158"/>
      <c r="AE28" s="158"/>
      <c r="AF28" s="158"/>
      <c r="AG28" s="158"/>
      <c r="AH28" s="158"/>
      <c r="AI28" s="158"/>
      <c r="AJ28" s="158"/>
      <c r="AK28" s="158"/>
      <c r="AL28" s="18"/>
      <c r="AM28" s="18"/>
      <c r="AN28" s="18"/>
      <c r="AO28" s="18"/>
      <c r="AP28" s="18"/>
      <c r="AQ28" s="18"/>
      <c r="AR28" s="18"/>
      <c r="AS28" s="18"/>
      <c r="AT28" s="18"/>
      <c r="AU28" s="18"/>
      <c r="AV28" s="18"/>
      <c r="AW28" s="18"/>
      <c r="AX28" s="18"/>
      <c r="AY28" s="18"/>
      <c r="AZ28" s="18"/>
      <c r="BA28" s="18"/>
      <c r="BB28" s="18"/>
      <c r="BC28" s="18"/>
      <c r="BD28" s="18"/>
      <c r="BE28" s="18"/>
      <c r="BF28" s="18"/>
      <c r="BG28" s="157"/>
      <c r="BH28" s="157"/>
      <c r="BI28" s="157"/>
      <c r="BJ28" s="157"/>
      <c r="BK28" s="157"/>
      <c r="BL28" s="157"/>
      <c r="BM28" s="157"/>
      <c r="BN28" s="157"/>
      <c r="BO28" s="157"/>
      <c r="BP28" s="157"/>
      <c r="BQ28" s="157"/>
      <c r="BR28" s="157"/>
      <c r="BS28" s="157"/>
      <c r="BT28" s="157"/>
    </row>
    <row r="29" spans="2:72" s="20" customFormat="1" ht="14">
      <c r="B29" s="284" t="s">
        <v>37</v>
      </c>
      <c r="C29" s="285" t="s">
        <v>67</v>
      </c>
      <c r="D29" s="271" t="s">
        <v>186</v>
      </c>
      <c r="E29" s="166"/>
      <c r="F29" s="253"/>
      <c r="G29" s="243"/>
      <c r="H29" s="181"/>
      <c r="I29" s="182"/>
      <c r="J29" s="253" t="s">
        <v>33</v>
      </c>
      <c r="K29" s="243" t="s">
        <v>166</v>
      </c>
      <c r="L29" s="181">
        <v>5</v>
      </c>
      <c r="M29" s="182">
        <v>1</v>
      </c>
      <c r="N29" s="165"/>
      <c r="O29" s="165"/>
      <c r="P29" s="253"/>
      <c r="Q29" s="243"/>
      <c r="R29" s="181"/>
      <c r="S29" s="182"/>
      <c r="T29" s="253"/>
      <c r="U29" s="243"/>
      <c r="V29" s="181"/>
      <c r="W29" s="182"/>
      <c r="X29" s="169"/>
      <c r="Y29" s="158"/>
      <c r="Z29" s="265"/>
      <c r="AA29" s="172" t="s">
        <v>187</v>
      </c>
      <c r="AB29" s="158"/>
      <c r="AC29" s="247"/>
      <c r="AD29" s="158"/>
      <c r="AE29" s="158"/>
      <c r="AF29" s="158"/>
      <c r="AG29" s="158"/>
      <c r="AH29" s="158"/>
      <c r="AI29" s="158"/>
      <c r="AJ29" s="158"/>
      <c r="AK29" s="158"/>
      <c r="AL29" s="18"/>
      <c r="AM29" s="18"/>
      <c r="AN29" s="18"/>
      <c r="AO29" s="18"/>
      <c r="AP29" s="18"/>
      <c r="AQ29" s="18"/>
      <c r="AR29" s="18"/>
      <c r="AS29" s="18"/>
      <c r="AT29" s="18"/>
      <c r="AU29" s="18"/>
      <c r="AV29" s="18"/>
      <c r="AW29" s="18"/>
      <c r="AX29" s="18"/>
      <c r="AY29" s="18"/>
      <c r="AZ29" s="18"/>
      <c r="BA29" s="18"/>
      <c r="BB29" s="18"/>
      <c r="BC29" s="18"/>
      <c r="BD29" s="18"/>
      <c r="BE29" s="18"/>
      <c r="BF29" s="18"/>
      <c r="BG29" s="157"/>
      <c r="BH29" s="157"/>
      <c r="BI29" s="157"/>
      <c r="BJ29" s="157"/>
      <c r="BK29" s="157"/>
      <c r="BL29" s="157"/>
      <c r="BM29" s="157"/>
      <c r="BN29" s="157"/>
      <c r="BO29" s="157"/>
      <c r="BP29" s="157"/>
      <c r="BQ29" s="157"/>
      <c r="BR29" s="157"/>
      <c r="BS29" s="157"/>
      <c r="BT29" s="157"/>
    </row>
    <row r="30" spans="2:72" s="20" customFormat="1" ht="14">
      <c r="B30" s="272" t="s">
        <v>188</v>
      </c>
      <c r="C30" s="273" t="s">
        <v>407</v>
      </c>
      <c r="D30" s="271" t="s">
        <v>155</v>
      </c>
      <c r="E30" s="166"/>
      <c r="F30" s="253"/>
      <c r="G30" s="243"/>
      <c r="H30" s="181"/>
      <c r="I30" s="182"/>
      <c r="J30" s="253" t="s">
        <v>133</v>
      </c>
      <c r="K30" s="243" t="s">
        <v>227</v>
      </c>
      <c r="L30" s="181">
        <v>3</v>
      </c>
      <c r="M30" s="182">
        <v>10</v>
      </c>
      <c r="N30" s="165"/>
      <c r="O30" s="165"/>
      <c r="P30" s="253"/>
      <c r="Q30" s="243"/>
      <c r="R30" s="181"/>
      <c r="S30" s="182"/>
      <c r="T30" s="253"/>
      <c r="U30" s="243"/>
      <c r="V30" s="181"/>
      <c r="W30" s="182"/>
      <c r="X30" s="169"/>
      <c r="Y30" s="158"/>
      <c r="Z30" s="259"/>
      <c r="AA30" s="172" t="s">
        <v>190</v>
      </c>
      <c r="AB30" s="158"/>
      <c r="AC30" s="247"/>
      <c r="AD30" s="158"/>
      <c r="AE30" s="158"/>
      <c r="AF30" s="158"/>
      <c r="AG30" s="158"/>
      <c r="AH30" s="158"/>
      <c r="AI30" s="158"/>
      <c r="AJ30" s="158"/>
      <c r="AK30" s="158"/>
      <c r="AL30" s="18"/>
      <c r="AM30" s="18"/>
      <c r="AN30" s="18"/>
      <c r="AO30" s="18"/>
      <c r="AP30" s="18"/>
      <c r="AQ30" s="18"/>
      <c r="AR30" s="18"/>
      <c r="AS30" s="18"/>
      <c r="AT30" s="18"/>
      <c r="AU30" s="18"/>
      <c r="AV30" s="18"/>
      <c r="AW30" s="18"/>
      <c r="AX30" s="18"/>
      <c r="AY30" s="18"/>
      <c r="AZ30" s="18"/>
      <c r="BA30" s="18"/>
      <c r="BB30" s="18"/>
      <c r="BC30" s="18"/>
      <c r="BD30" s="18"/>
      <c r="BE30" s="18"/>
      <c r="BF30" s="18"/>
      <c r="BG30" s="157"/>
      <c r="BH30" s="157"/>
      <c r="BI30" s="157"/>
      <c r="BJ30" s="157"/>
      <c r="BK30" s="157"/>
      <c r="BL30" s="157"/>
      <c r="BM30" s="157"/>
      <c r="BN30" s="157"/>
      <c r="BO30" s="157"/>
      <c r="BP30" s="157"/>
      <c r="BQ30" s="157"/>
      <c r="BR30" s="157"/>
      <c r="BS30" s="157"/>
      <c r="BT30" s="157"/>
    </row>
    <row r="31" spans="2:72" s="20" customFormat="1" ht="14">
      <c r="B31" s="272"/>
      <c r="C31" s="273" t="s">
        <v>185</v>
      </c>
      <c r="D31" s="271" t="s">
        <v>405</v>
      </c>
      <c r="E31" s="166"/>
      <c r="F31" s="253"/>
      <c r="G31" s="243"/>
      <c r="H31" s="181"/>
      <c r="I31" s="182"/>
      <c r="J31" s="253" t="s">
        <v>133</v>
      </c>
      <c r="K31" s="243" t="s">
        <v>220</v>
      </c>
      <c r="L31" s="181">
        <v>4</v>
      </c>
      <c r="M31" s="182">
        <v>15</v>
      </c>
      <c r="N31" s="165"/>
      <c r="O31" s="165"/>
      <c r="P31" s="253"/>
      <c r="Q31" s="243"/>
      <c r="R31" s="181"/>
      <c r="S31" s="182"/>
      <c r="T31" s="253"/>
      <c r="U31" s="243"/>
      <c r="V31" s="181"/>
      <c r="W31" s="182"/>
      <c r="X31" s="169"/>
      <c r="Y31" s="158"/>
      <c r="Z31" s="264"/>
      <c r="AA31" s="172" t="s">
        <v>191</v>
      </c>
      <c r="AB31" s="158"/>
      <c r="AC31" s="247"/>
      <c r="AD31" s="158"/>
      <c r="AE31" s="158"/>
      <c r="AF31" s="158"/>
      <c r="AG31" s="158"/>
      <c r="AH31" s="158"/>
      <c r="AI31" s="158"/>
      <c r="AJ31" s="158"/>
      <c r="AK31" s="158"/>
      <c r="AL31" s="18"/>
      <c r="AM31" s="18"/>
      <c r="AN31" s="18"/>
      <c r="AO31" s="18"/>
      <c r="AP31" s="18"/>
      <c r="AQ31" s="18"/>
      <c r="AR31" s="18"/>
      <c r="AS31" s="18"/>
      <c r="AT31" s="18"/>
      <c r="AU31" s="18"/>
      <c r="AV31" s="18"/>
      <c r="AW31" s="18"/>
      <c r="AX31" s="18"/>
      <c r="AY31" s="18"/>
      <c r="AZ31" s="18"/>
      <c r="BA31" s="18"/>
      <c r="BB31" s="18"/>
      <c r="BC31" s="18"/>
      <c r="BD31" s="18"/>
      <c r="BE31" s="18"/>
      <c r="BF31" s="18"/>
      <c r="BG31" s="157"/>
      <c r="BH31" s="157"/>
      <c r="BI31" s="157"/>
      <c r="BJ31" s="157"/>
      <c r="BK31" s="157"/>
      <c r="BL31" s="157"/>
      <c r="BM31" s="157"/>
      <c r="BN31" s="157"/>
      <c r="BO31" s="157"/>
      <c r="BP31" s="157"/>
      <c r="BQ31" s="157"/>
      <c r="BR31" s="157"/>
      <c r="BS31" s="157"/>
      <c r="BT31" s="157"/>
    </row>
    <row r="32" spans="2:72" s="20" customFormat="1" ht="14">
      <c r="B32" s="272"/>
      <c r="C32" s="273" t="s">
        <v>189</v>
      </c>
      <c r="D32" s="169"/>
      <c r="E32" s="166"/>
      <c r="F32" s="253"/>
      <c r="G32" s="243"/>
      <c r="H32" s="181"/>
      <c r="I32" s="182"/>
      <c r="J32" s="253" t="s">
        <v>133</v>
      </c>
      <c r="K32" s="243" t="s">
        <v>445</v>
      </c>
      <c r="L32" s="181">
        <v>2</v>
      </c>
      <c r="M32" s="182">
        <v>15</v>
      </c>
      <c r="N32" s="165"/>
      <c r="O32" s="165"/>
      <c r="P32" s="253"/>
      <c r="Q32" s="243"/>
      <c r="R32" s="181"/>
      <c r="S32" s="182"/>
      <c r="T32" s="253"/>
      <c r="U32" s="243"/>
      <c r="V32" s="181"/>
      <c r="W32" s="182"/>
      <c r="X32" s="169"/>
      <c r="Y32" s="158"/>
      <c r="Z32" s="269"/>
      <c r="AA32" s="172" t="s">
        <v>193</v>
      </c>
      <c r="AB32" s="158"/>
      <c r="AC32" s="247"/>
      <c r="AD32" s="158"/>
      <c r="AE32" s="158"/>
      <c r="AF32" s="158"/>
      <c r="AG32" s="158"/>
      <c r="AH32" s="158"/>
      <c r="AI32" s="158"/>
      <c r="AJ32" s="158"/>
      <c r="AK32" s="158"/>
      <c r="AL32" s="18"/>
      <c r="AM32" s="18"/>
      <c r="AN32" s="18"/>
      <c r="AO32" s="18"/>
      <c r="AP32" s="18"/>
      <c r="AQ32" s="18"/>
      <c r="AR32" s="18"/>
      <c r="AS32" s="18"/>
      <c r="AT32" s="18"/>
      <c r="AU32" s="18"/>
      <c r="AV32" s="18"/>
      <c r="AW32" s="18"/>
      <c r="AX32" s="18"/>
      <c r="AY32" s="18"/>
      <c r="AZ32" s="18"/>
      <c r="BA32" s="18"/>
      <c r="BB32" s="18"/>
      <c r="BC32" s="18"/>
      <c r="BD32" s="18"/>
      <c r="BE32" s="18"/>
      <c r="BF32" s="18"/>
      <c r="BG32" s="157"/>
      <c r="BH32" s="157"/>
      <c r="BI32" s="157"/>
      <c r="BJ32" s="157"/>
      <c r="BK32" s="157"/>
      <c r="BL32" s="157"/>
      <c r="BM32" s="157"/>
      <c r="BN32" s="157"/>
      <c r="BO32" s="157"/>
      <c r="BP32" s="157"/>
      <c r="BQ32" s="157"/>
      <c r="BR32" s="157"/>
      <c r="BS32" s="157"/>
      <c r="BT32" s="157"/>
    </row>
    <row r="33" spans="2:72" s="20" customFormat="1" ht="14">
      <c r="B33" s="272"/>
      <c r="C33" s="165"/>
      <c r="D33" s="169"/>
      <c r="E33" s="166"/>
      <c r="F33" s="253"/>
      <c r="G33" s="243"/>
      <c r="H33" s="181"/>
      <c r="I33" s="182"/>
      <c r="J33" s="253"/>
      <c r="K33" s="243"/>
      <c r="L33" s="181"/>
      <c r="M33" s="182"/>
      <c r="N33" s="165"/>
      <c r="O33" s="165"/>
      <c r="P33" s="253"/>
      <c r="Q33" s="243"/>
      <c r="R33" s="181"/>
      <c r="S33" s="182"/>
      <c r="T33" s="253"/>
      <c r="U33" s="243"/>
      <c r="V33" s="181"/>
      <c r="W33" s="182"/>
      <c r="X33" s="169"/>
      <c r="Y33" s="158"/>
      <c r="Z33" s="265"/>
      <c r="AA33" s="172" t="s">
        <v>195</v>
      </c>
      <c r="AB33" s="158"/>
      <c r="AC33" s="247"/>
      <c r="AD33" s="158"/>
      <c r="AE33" s="158"/>
      <c r="AF33" s="158"/>
      <c r="AG33" s="158"/>
      <c r="AH33" s="158"/>
      <c r="AI33" s="158"/>
      <c r="AJ33" s="158"/>
      <c r="AK33" s="158"/>
      <c r="AL33" s="18"/>
      <c r="AM33" s="18"/>
      <c r="AN33" s="18"/>
      <c r="AO33" s="18"/>
      <c r="AP33" s="18"/>
      <c r="AQ33" s="18"/>
      <c r="AR33" s="18"/>
      <c r="AS33" s="18"/>
      <c r="AT33" s="18"/>
      <c r="AU33" s="18"/>
      <c r="AV33" s="18"/>
      <c r="AW33" s="18"/>
      <c r="AX33" s="18"/>
      <c r="AY33" s="18"/>
      <c r="AZ33" s="18"/>
      <c r="BA33" s="18"/>
      <c r="BB33" s="18"/>
      <c r="BC33" s="18"/>
      <c r="BD33" s="18"/>
      <c r="BE33" s="18"/>
      <c r="BF33" s="18"/>
      <c r="BG33" s="157"/>
      <c r="BH33" s="157"/>
      <c r="BI33" s="157"/>
      <c r="BJ33" s="157"/>
      <c r="BK33" s="157"/>
      <c r="BL33" s="157"/>
      <c r="BM33" s="157"/>
      <c r="BN33" s="157"/>
      <c r="BO33" s="157"/>
      <c r="BP33" s="157"/>
      <c r="BQ33" s="157"/>
      <c r="BR33" s="157"/>
      <c r="BS33" s="157"/>
      <c r="BT33" s="157"/>
    </row>
    <row r="34" spans="2:72" s="20" customFormat="1" ht="14">
      <c r="B34" s="367" t="s">
        <v>194</v>
      </c>
      <c r="C34" s="368"/>
      <c r="D34" s="369"/>
      <c r="E34" s="166"/>
      <c r="F34" s="253"/>
      <c r="G34" s="243"/>
      <c r="H34" s="181"/>
      <c r="I34" s="182"/>
      <c r="J34" s="253"/>
      <c r="K34" s="243"/>
      <c r="L34" s="181"/>
      <c r="M34" s="182"/>
      <c r="N34" s="165"/>
      <c r="O34" s="165"/>
      <c r="P34" s="253"/>
      <c r="Q34" s="243"/>
      <c r="R34" s="181"/>
      <c r="S34" s="182"/>
      <c r="T34" s="253"/>
      <c r="U34" s="243"/>
      <c r="V34" s="181"/>
      <c r="W34" s="182"/>
      <c r="X34" s="169"/>
      <c r="Y34" s="158"/>
      <c r="Z34" s="258"/>
      <c r="AA34" s="172" t="s">
        <v>196</v>
      </c>
      <c r="AB34" s="158"/>
      <c r="AC34" s="247"/>
      <c r="AD34" s="158"/>
      <c r="AE34" s="158"/>
      <c r="AF34" s="158"/>
      <c r="AG34" s="158"/>
      <c r="AH34" s="158"/>
      <c r="AI34" s="158"/>
      <c r="AJ34" s="158"/>
      <c r="AK34" s="158"/>
      <c r="AL34" s="18"/>
      <c r="AM34" s="18"/>
      <c r="AN34" s="18"/>
      <c r="AO34" s="18"/>
      <c r="AP34" s="18"/>
      <c r="AQ34" s="18"/>
      <c r="AR34" s="18"/>
      <c r="AS34" s="18"/>
      <c r="AT34" s="18"/>
      <c r="AU34" s="18"/>
      <c r="AV34" s="18"/>
      <c r="AW34" s="18"/>
      <c r="AX34" s="18"/>
      <c r="AY34" s="18"/>
      <c r="AZ34" s="18"/>
      <c r="BA34" s="18"/>
      <c r="BB34" s="18"/>
      <c r="BC34" s="18"/>
      <c r="BD34" s="18"/>
      <c r="BE34" s="18"/>
      <c r="BF34" s="18"/>
      <c r="BG34" s="157"/>
      <c r="BH34" s="157"/>
      <c r="BI34" s="157"/>
      <c r="BJ34" s="157"/>
      <c r="BK34" s="157"/>
      <c r="BL34" s="157"/>
      <c r="BM34" s="157"/>
      <c r="BN34" s="157"/>
      <c r="BO34" s="157"/>
      <c r="BP34" s="157"/>
      <c r="BQ34" s="157"/>
      <c r="BR34" s="157"/>
      <c r="BS34" s="157"/>
      <c r="BT34" s="157"/>
    </row>
    <row r="35" spans="2:72" s="20" customFormat="1" ht="14">
      <c r="B35" s="272"/>
      <c r="C35" s="165"/>
      <c r="D35" s="169"/>
      <c r="E35" s="166"/>
      <c r="F35" s="253"/>
      <c r="G35" s="243"/>
      <c r="H35" s="181"/>
      <c r="I35" s="182"/>
      <c r="J35" s="253"/>
      <c r="K35" s="243"/>
      <c r="L35" s="181"/>
      <c r="M35" s="182"/>
      <c r="N35" s="165"/>
      <c r="O35" s="165"/>
      <c r="P35" s="253"/>
      <c r="Q35" s="243"/>
      <c r="R35" s="181"/>
      <c r="S35" s="182"/>
      <c r="T35" s="253"/>
      <c r="U35" s="243"/>
      <c r="V35" s="181"/>
      <c r="W35" s="182"/>
      <c r="X35" s="169"/>
      <c r="Y35" s="158"/>
      <c r="Z35" s="258"/>
      <c r="AA35" s="172" t="s">
        <v>199</v>
      </c>
      <c r="AB35" s="158"/>
      <c r="AC35" s="247"/>
      <c r="AD35" s="158"/>
      <c r="AE35" s="158"/>
      <c r="AF35" s="158"/>
      <c r="AG35" s="158"/>
      <c r="AH35" s="158"/>
      <c r="AI35" s="158"/>
      <c r="AJ35" s="158"/>
      <c r="AK35" s="158"/>
      <c r="AL35" s="18"/>
      <c r="AM35" s="18"/>
      <c r="AN35" s="18"/>
      <c r="AO35" s="18"/>
      <c r="AP35" s="18"/>
      <c r="AQ35" s="18"/>
      <c r="AR35" s="18"/>
      <c r="AS35" s="18"/>
      <c r="AT35" s="18"/>
      <c r="AU35" s="18"/>
      <c r="AV35" s="18"/>
      <c r="AW35" s="18"/>
      <c r="AX35" s="18"/>
      <c r="AY35" s="18"/>
      <c r="AZ35" s="18"/>
      <c r="BA35" s="18"/>
      <c r="BB35" s="18"/>
      <c r="BC35" s="18"/>
      <c r="BD35" s="18"/>
      <c r="BE35" s="18"/>
      <c r="BF35" s="18"/>
      <c r="BG35" s="157"/>
      <c r="BH35" s="157"/>
      <c r="BI35" s="157"/>
      <c r="BJ35" s="157"/>
      <c r="BK35" s="157"/>
      <c r="BL35" s="157"/>
      <c r="BM35" s="157"/>
      <c r="BN35" s="157"/>
      <c r="BO35" s="157"/>
      <c r="BP35" s="157"/>
      <c r="BQ35" s="157"/>
      <c r="BR35" s="157"/>
      <c r="BS35" s="157"/>
      <c r="BT35" s="157"/>
    </row>
    <row r="36" spans="2:72" s="20" customFormat="1" ht="14">
      <c r="B36" s="272" t="s">
        <v>111</v>
      </c>
      <c r="C36" s="178" t="s">
        <v>197</v>
      </c>
      <c r="D36" s="271" t="s">
        <v>198</v>
      </c>
      <c r="E36" s="166"/>
      <c r="F36" s="253"/>
      <c r="G36" s="243"/>
      <c r="H36" s="181"/>
      <c r="I36" s="182"/>
      <c r="J36" s="253"/>
      <c r="K36" s="243"/>
      <c r="L36" s="181"/>
      <c r="M36" s="182"/>
      <c r="N36" s="165"/>
      <c r="O36" s="165"/>
      <c r="P36" s="253"/>
      <c r="Q36" s="243"/>
      <c r="R36" s="181"/>
      <c r="S36" s="182"/>
      <c r="T36" s="253"/>
      <c r="U36" s="243"/>
      <c r="V36" s="181"/>
      <c r="W36" s="182"/>
      <c r="X36" s="169"/>
      <c r="Y36" s="158"/>
      <c r="Z36" s="267"/>
      <c r="AA36" s="172" t="s">
        <v>202</v>
      </c>
      <c r="AB36" s="158"/>
      <c r="AC36" s="248"/>
      <c r="AD36" s="158"/>
      <c r="AE36" s="158"/>
      <c r="AF36" s="158"/>
      <c r="AG36" s="158"/>
      <c r="AH36" s="158"/>
      <c r="AI36" s="158"/>
      <c r="AJ36" s="158"/>
      <c r="AK36" s="158"/>
      <c r="AL36" s="18"/>
      <c r="AM36" s="18"/>
      <c r="AN36" s="18"/>
      <c r="AO36" s="18"/>
      <c r="AP36" s="18"/>
      <c r="AQ36" s="18"/>
      <c r="AR36" s="18"/>
      <c r="AS36" s="18"/>
      <c r="AT36" s="18"/>
      <c r="AU36" s="18"/>
      <c r="AV36" s="18"/>
      <c r="AW36" s="18"/>
      <c r="AX36" s="18"/>
      <c r="AY36" s="18"/>
      <c r="AZ36" s="18"/>
      <c r="BA36" s="18"/>
      <c r="BB36" s="18"/>
      <c r="BC36" s="18"/>
      <c r="BD36" s="18"/>
      <c r="BE36" s="18"/>
      <c r="BF36" s="18"/>
      <c r="BG36" s="157"/>
      <c r="BH36" s="157"/>
      <c r="BI36" s="157"/>
      <c r="BJ36" s="157"/>
      <c r="BK36" s="157"/>
      <c r="BL36" s="157"/>
      <c r="BM36" s="157"/>
      <c r="BN36" s="157"/>
      <c r="BO36" s="157"/>
      <c r="BP36" s="157"/>
      <c r="BQ36" s="157"/>
      <c r="BR36" s="157"/>
      <c r="BS36" s="157"/>
      <c r="BT36" s="157"/>
    </row>
    <row r="37" spans="2:72" s="20" customFormat="1" ht="14">
      <c r="B37" s="272" t="s">
        <v>114</v>
      </c>
      <c r="C37" s="244" t="s">
        <v>203</v>
      </c>
      <c r="D37" s="271" t="s">
        <v>334</v>
      </c>
      <c r="E37" s="166"/>
      <c r="F37" s="253"/>
      <c r="G37" s="243"/>
      <c r="H37" s="181"/>
      <c r="I37" s="182"/>
      <c r="J37" s="253"/>
      <c r="K37" s="243"/>
      <c r="L37" s="181"/>
      <c r="M37" s="182"/>
      <c r="N37" s="165"/>
      <c r="O37" s="165"/>
      <c r="P37" s="253"/>
      <c r="Q37" s="243"/>
      <c r="R37" s="181"/>
      <c r="S37" s="182"/>
      <c r="T37" s="253"/>
      <c r="U37" s="243"/>
      <c r="V37" s="181"/>
      <c r="W37" s="182"/>
      <c r="X37" s="169"/>
      <c r="Y37" s="158"/>
      <c r="Z37" s="258"/>
      <c r="AA37" s="176" t="s">
        <v>205</v>
      </c>
      <c r="AB37" s="158"/>
      <c r="AC37" s="247"/>
      <c r="AD37" s="158"/>
      <c r="AE37" s="158"/>
      <c r="AF37" s="158"/>
      <c r="AG37" s="158"/>
      <c r="AH37" s="158"/>
      <c r="AI37" s="158"/>
      <c r="AJ37" s="158"/>
      <c r="AK37" s="158"/>
      <c r="AL37" s="18"/>
      <c r="AM37" s="18"/>
      <c r="AN37" s="18"/>
      <c r="AO37" s="18"/>
      <c r="AP37" s="18"/>
      <c r="AQ37" s="18"/>
      <c r="AR37" s="18"/>
      <c r="AS37" s="18"/>
      <c r="AT37" s="18"/>
      <c r="AU37" s="18"/>
      <c r="AV37" s="18"/>
      <c r="AW37" s="18"/>
      <c r="AX37" s="18"/>
      <c r="AY37" s="18"/>
      <c r="AZ37" s="18"/>
      <c r="BA37" s="18"/>
      <c r="BB37" s="18"/>
      <c r="BC37" s="18"/>
      <c r="BD37" s="18"/>
      <c r="BE37" s="18"/>
      <c r="BF37" s="18"/>
      <c r="BG37" s="157"/>
      <c r="BH37" s="157"/>
      <c r="BI37" s="157"/>
      <c r="BJ37" s="157"/>
      <c r="BK37" s="157"/>
      <c r="BL37" s="157"/>
      <c r="BM37" s="157"/>
      <c r="BN37" s="157"/>
      <c r="BO37" s="157"/>
      <c r="BP37" s="157"/>
      <c r="BQ37" s="157"/>
      <c r="BR37" s="157"/>
      <c r="BS37" s="157"/>
      <c r="BT37" s="157"/>
    </row>
    <row r="38" spans="2:72" s="20" customFormat="1" ht="14">
      <c r="B38" s="183" t="s">
        <v>117</v>
      </c>
      <c r="C38" s="244" t="s">
        <v>200</v>
      </c>
      <c r="D38" s="271" t="s">
        <v>201</v>
      </c>
      <c r="E38" s="166"/>
      <c r="F38" s="253"/>
      <c r="G38" s="243"/>
      <c r="H38" s="181"/>
      <c r="I38" s="182"/>
      <c r="J38" s="253"/>
      <c r="K38" s="243"/>
      <c r="L38" s="181"/>
      <c r="M38" s="182"/>
      <c r="N38" s="165"/>
      <c r="O38" s="165"/>
      <c r="P38" s="253"/>
      <c r="Q38" s="243"/>
      <c r="R38" s="181"/>
      <c r="S38" s="182"/>
      <c r="T38" s="253"/>
      <c r="U38" s="243"/>
      <c r="V38" s="181"/>
      <c r="W38" s="182"/>
      <c r="X38" s="169"/>
      <c r="Y38" s="158"/>
      <c r="Z38" s="258"/>
      <c r="AA38" s="172" t="s">
        <v>407</v>
      </c>
      <c r="AB38" s="158"/>
      <c r="AC38" s="247"/>
      <c r="AD38" s="158"/>
      <c r="AE38" s="158"/>
      <c r="AF38" s="158"/>
      <c r="AG38" s="158"/>
      <c r="AH38" s="158"/>
      <c r="AI38" s="158"/>
      <c r="AJ38" s="158"/>
      <c r="AK38" s="158"/>
      <c r="AL38" s="18"/>
      <c r="AM38" s="18"/>
      <c r="AN38" s="18"/>
      <c r="AO38" s="18"/>
      <c r="AP38" s="18"/>
      <c r="AQ38" s="18"/>
      <c r="AR38" s="18"/>
      <c r="AS38" s="18"/>
      <c r="AT38" s="18"/>
      <c r="AU38" s="18"/>
      <c r="AV38" s="18"/>
      <c r="AW38" s="18"/>
      <c r="AX38" s="18"/>
      <c r="AY38" s="18"/>
      <c r="AZ38" s="18"/>
      <c r="BA38" s="18"/>
      <c r="BB38" s="18"/>
      <c r="BC38" s="18"/>
      <c r="BD38" s="18"/>
      <c r="BE38" s="18"/>
      <c r="BF38" s="18"/>
      <c r="BG38" s="157"/>
      <c r="BH38" s="157"/>
      <c r="BI38" s="157"/>
      <c r="BJ38" s="157"/>
      <c r="BK38" s="157"/>
      <c r="BL38" s="157"/>
      <c r="BM38" s="157"/>
      <c r="BN38" s="157"/>
      <c r="BO38" s="157"/>
      <c r="BP38" s="157"/>
      <c r="BQ38" s="157"/>
      <c r="BR38" s="157"/>
      <c r="BS38" s="157"/>
      <c r="BT38" s="157"/>
    </row>
    <row r="39" spans="2:72" s="20" customFormat="1" ht="14">
      <c r="B39" s="272" t="s">
        <v>134</v>
      </c>
      <c r="C39" s="244" t="s">
        <v>325</v>
      </c>
      <c r="D39" s="271" t="s">
        <v>335</v>
      </c>
      <c r="E39" s="166"/>
      <c r="F39" s="253"/>
      <c r="G39" s="243"/>
      <c r="H39" s="181"/>
      <c r="I39" s="182"/>
      <c r="J39" s="253"/>
      <c r="K39" s="243"/>
      <c r="L39" s="181"/>
      <c r="M39" s="182"/>
      <c r="N39" s="165"/>
      <c r="O39" s="165"/>
      <c r="P39" s="253"/>
      <c r="Q39" s="243"/>
      <c r="R39" s="181"/>
      <c r="S39" s="182"/>
      <c r="T39" s="253"/>
      <c r="U39" s="243"/>
      <c r="V39" s="181"/>
      <c r="W39" s="182"/>
      <c r="X39" s="169"/>
      <c r="Y39" s="158"/>
      <c r="Z39" s="258"/>
      <c r="AA39" s="172" t="s">
        <v>161</v>
      </c>
      <c r="AB39" s="158"/>
      <c r="AC39" s="247"/>
      <c r="AD39" s="158"/>
      <c r="AE39" s="158"/>
      <c r="AF39" s="158"/>
      <c r="AG39" s="158"/>
      <c r="AH39" s="158"/>
      <c r="AI39" s="158"/>
      <c r="AJ39" s="158"/>
      <c r="AK39" s="158"/>
      <c r="AL39" s="18"/>
      <c r="AM39" s="18"/>
      <c r="AN39" s="18"/>
      <c r="AO39" s="18"/>
      <c r="AP39" s="18"/>
      <c r="AQ39" s="18"/>
      <c r="AR39" s="18"/>
      <c r="AS39" s="18"/>
      <c r="AT39" s="18"/>
      <c r="AU39" s="18"/>
      <c r="AV39" s="18"/>
      <c r="AW39" s="18"/>
      <c r="AX39" s="18"/>
      <c r="AY39" s="18"/>
      <c r="AZ39" s="18"/>
      <c r="BA39" s="18"/>
      <c r="BB39" s="18"/>
      <c r="BC39" s="18"/>
      <c r="BD39" s="18"/>
      <c r="BE39" s="18"/>
      <c r="BF39" s="18"/>
      <c r="BG39" s="157"/>
      <c r="BH39" s="157"/>
      <c r="BI39" s="157"/>
      <c r="BJ39" s="157"/>
      <c r="BK39" s="157"/>
      <c r="BL39" s="157"/>
      <c r="BM39" s="157"/>
      <c r="BN39" s="157"/>
      <c r="BO39" s="157"/>
      <c r="BP39" s="157"/>
      <c r="BQ39" s="157"/>
      <c r="BR39" s="157"/>
      <c r="BS39" s="157"/>
      <c r="BT39" s="157"/>
    </row>
    <row r="40" spans="2:72" s="20" customFormat="1" ht="14">
      <c r="B40" s="272" t="s">
        <v>143</v>
      </c>
      <c r="C40" s="273" t="s">
        <v>208</v>
      </c>
      <c r="D40" s="271" t="s">
        <v>207</v>
      </c>
      <c r="E40" s="166"/>
      <c r="F40" s="253"/>
      <c r="G40" s="243"/>
      <c r="H40" s="181"/>
      <c r="I40" s="182"/>
      <c r="J40" s="253"/>
      <c r="K40" s="243"/>
      <c r="L40" s="181"/>
      <c r="M40" s="182"/>
      <c r="N40" s="165"/>
      <c r="O40" s="165"/>
      <c r="P40" s="253"/>
      <c r="Q40" s="243"/>
      <c r="R40" s="181"/>
      <c r="S40" s="182"/>
      <c r="T40" s="253"/>
      <c r="U40" s="243"/>
      <c r="V40" s="181"/>
      <c r="W40" s="182"/>
      <c r="X40" s="169"/>
      <c r="Y40" s="158"/>
      <c r="Z40" s="268"/>
      <c r="AA40" s="172" t="s">
        <v>165</v>
      </c>
      <c r="AB40" s="158"/>
      <c r="AC40" s="247"/>
      <c r="AD40" s="158"/>
      <c r="AE40" s="158"/>
      <c r="AF40" s="158"/>
      <c r="AG40" s="158"/>
      <c r="AH40" s="158"/>
      <c r="AI40" s="158"/>
      <c r="AJ40" s="158"/>
      <c r="AK40" s="158"/>
      <c r="AL40" s="18"/>
      <c r="AM40" s="18"/>
      <c r="AN40" s="18"/>
      <c r="AO40" s="18"/>
      <c r="AP40" s="18"/>
      <c r="AQ40" s="18"/>
      <c r="AR40" s="18"/>
      <c r="AS40" s="18"/>
      <c r="AT40" s="18"/>
      <c r="AU40" s="18"/>
      <c r="AV40" s="18"/>
      <c r="AW40" s="18"/>
      <c r="AX40" s="18"/>
      <c r="AY40" s="18"/>
      <c r="AZ40" s="18"/>
      <c r="BA40" s="18"/>
      <c r="BB40" s="18"/>
      <c r="BC40" s="18"/>
      <c r="BD40" s="18"/>
      <c r="BE40" s="18"/>
      <c r="BF40" s="18"/>
      <c r="BG40" s="157"/>
      <c r="BH40" s="157"/>
      <c r="BI40" s="157"/>
      <c r="BJ40" s="157"/>
      <c r="BK40" s="157"/>
      <c r="BL40" s="157"/>
      <c r="BM40" s="157"/>
      <c r="BN40" s="157"/>
      <c r="BO40" s="157"/>
      <c r="BP40" s="157"/>
      <c r="BQ40" s="157"/>
      <c r="BR40" s="157"/>
      <c r="BS40" s="157"/>
      <c r="BT40" s="157"/>
    </row>
    <row r="41" spans="2:72" s="20" customFormat="1" ht="14">
      <c r="B41" s="272" t="s">
        <v>149</v>
      </c>
      <c r="C41" s="273" t="s">
        <v>326</v>
      </c>
      <c r="D41" s="271" t="s">
        <v>209</v>
      </c>
      <c r="E41" s="166"/>
      <c r="F41" s="253"/>
      <c r="G41" s="243"/>
      <c r="H41" s="181"/>
      <c r="I41" s="182"/>
      <c r="J41" s="253"/>
      <c r="K41" s="243"/>
      <c r="L41" s="181"/>
      <c r="M41" s="182"/>
      <c r="N41" s="165"/>
      <c r="O41" s="165"/>
      <c r="P41" s="253"/>
      <c r="Q41" s="243"/>
      <c r="R41" s="181"/>
      <c r="S41" s="182"/>
      <c r="T41" s="253"/>
      <c r="U41" s="243"/>
      <c r="V41" s="243"/>
      <c r="W41" s="184"/>
      <c r="X41" s="169"/>
      <c r="Y41" s="158"/>
      <c r="Z41" s="259"/>
      <c r="AA41" s="172" t="s">
        <v>212</v>
      </c>
      <c r="AB41" s="158"/>
      <c r="AC41" s="247"/>
      <c r="AD41" s="158"/>
      <c r="AE41" s="158"/>
      <c r="AF41" s="158"/>
      <c r="AG41" s="158"/>
      <c r="AH41" s="158"/>
      <c r="AI41" s="158"/>
      <c r="AJ41" s="158"/>
      <c r="AK41" s="158"/>
      <c r="AL41" s="18"/>
      <c r="AM41" s="18"/>
      <c r="AN41" s="18"/>
      <c r="AO41" s="18"/>
      <c r="AP41" s="18"/>
      <c r="AQ41" s="18"/>
      <c r="AR41" s="18"/>
      <c r="AS41" s="18"/>
      <c r="AT41" s="18"/>
      <c r="AU41" s="18"/>
      <c r="AV41" s="18"/>
      <c r="AW41" s="18"/>
      <c r="AX41" s="18"/>
      <c r="AY41" s="18"/>
      <c r="AZ41" s="18"/>
      <c r="BA41" s="18"/>
      <c r="BB41" s="18"/>
      <c r="BC41" s="18"/>
      <c r="BD41" s="18"/>
      <c r="BE41" s="18"/>
      <c r="BF41" s="18"/>
      <c r="BG41" s="157"/>
      <c r="BH41" s="157"/>
      <c r="BI41" s="157"/>
      <c r="BJ41" s="157"/>
      <c r="BK41" s="157"/>
      <c r="BL41" s="157"/>
      <c r="BM41" s="157"/>
      <c r="BN41" s="157"/>
      <c r="BO41" s="157"/>
      <c r="BP41" s="157"/>
      <c r="BQ41" s="157"/>
      <c r="BR41" s="157"/>
      <c r="BS41" s="157"/>
      <c r="BT41" s="157"/>
    </row>
    <row r="42" spans="2:72" s="20" customFormat="1" ht="14">
      <c r="B42" s="272" t="s">
        <v>164</v>
      </c>
      <c r="C42" s="273" t="s">
        <v>213</v>
      </c>
      <c r="D42" s="271" t="s">
        <v>211</v>
      </c>
      <c r="E42" s="166"/>
      <c r="F42" s="253"/>
      <c r="G42" s="243"/>
      <c r="H42" s="181"/>
      <c r="I42" s="182"/>
      <c r="J42" s="253"/>
      <c r="K42" s="243"/>
      <c r="L42" s="181"/>
      <c r="M42" s="182"/>
      <c r="N42" s="165"/>
      <c r="O42" s="165"/>
      <c r="P42" s="253"/>
      <c r="Q42" s="243"/>
      <c r="R42" s="243"/>
      <c r="S42" s="182"/>
      <c r="T42" s="253"/>
      <c r="U42" s="243"/>
      <c r="V42" s="243"/>
      <c r="W42" s="184"/>
      <c r="X42" s="169"/>
      <c r="Y42" s="158"/>
      <c r="Z42" s="260"/>
      <c r="AA42" s="172" t="s">
        <v>121</v>
      </c>
      <c r="AB42" s="158"/>
      <c r="AC42" s="247"/>
      <c r="AD42" s="158"/>
      <c r="AE42" s="158"/>
      <c r="AF42" s="158"/>
      <c r="AG42" s="158"/>
      <c r="AH42" s="158"/>
      <c r="AI42" s="158"/>
      <c r="AJ42" s="158"/>
      <c r="AK42" s="158"/>
      <c r="AL42" s="18"/>
      <c r="AM42" s="18"/>
      <c r="AN42" s="18"/>
      <c r="AO42" s="18"/>
      <c r="AP42" s="18"/>
      <c r="AQ42" s="18"/>
      <c r="AR42" s="18"/>
      <c r="AS42" s="18"/>
      <c r="AT42" s="18"/>
      <c r="AU42" s="18"/>
      <c r="AV42" s="18"/>
      <c r="AW42" s="18"/>
      <c r="AX42" s="18"/>
      <c r="AY42" s="18"/>
      <c r="AZ42" s="18"/>
      <c r="BA42" s="18"/>
      <c r="BB42" s="18"/>
      <c r="BC42" s="18"/>
      <c r="BD42" s="18"/>
      <c r="BE42" s="18"/>
      <c r="BF42" s="18"/>
      <c r="BG42" s="157"/>
      <c r="BH42" s="157"/>
      <c r="BI42" s="157"/>
      <c r="BJ42" s="157"/>
      <c r="BK42" s="157"/>
      <c r="BL42" s="157"/>
      <c r="BM42" s="157"/>
      <c r="BN42" s="157"/>
      <c r="BO42" s="157"/>
      <c r="BP42" s="157"/>
      <c r="BQ42" s="157"/>
      <c r="BR42" s="157"/>
      <c r="BS42" s="157"/>
      <c r="BT42" s="157"/>
    </row>
    <row r="43" spans="2:72" s="20" customFormat="1" ht="14">
      <c r="B43" s="272" t="s">
        <v>167</v>
      </c>
      <c r="C43" s="273" t="s">
        <v>216</v>
      </c>
      <c r="D43" s="271" t="s">
        <v>214</v>
      </c>
      <c r="E43" s="166"/>
      <c r="F43" s="253"/>
      <c r="G43" s="243"/>
      <c r="H43" s="181"/>
      <c r="I43" s="182"/>
      <c r="J43" s="253"/>
      <c r="K43" s="243"/>
      <c r="L43" s="181"/>
      <c r="M43" s="182"/>
      <c r="N43" s="165"/>
      <c r="O43" s="165"/>
      <c r="P43" s="253"/>
      <c r="Q43" s="243"/>
      <c r="R43" s="181"/>
      <c r="S43" s="182"/>
      <c r="T43" s="253"/>
      <c r="U43" s="243"/>
      <c r="V43" s="243"/>
      <c r="W43" s="184"/>
      <c r="X43" s="169"/>
      <c r="Y43" s="158"/>
      <c r="Z43" s="269"/>
      <c r="AA43" s="172" t="s">
        <v>125</v>
      </c>
      <c r="AB43" s="158"/>
      <c r="AC43" s="247"/>
      <c r="AD43" s="158"/>
      <c r="AE43" s="158"/>
      <c r="AF43" s="158"/>
      <c r="AG43" s="158"/>
      <c r="AH43" s="158"/>
      <c r="AI43" s="158"/>
      <c r="AJ43" s="158"/>
      <c r="AK43" s="158"/>
      <c r="AL43" s="18"/>
      <c r="AM43" s="18"/>
      <c r="AN43" s="18"/>
      <c r="AO43" s="18"/>
      <c r="AP43" s="18"/>
      <c r="AQ43" s="18"/>
      <c r="AR43" s="18"/>
      <c r="AS43" s="18"/>
      <c r="AT43" s="18"/>
      <c r="AU43" s="18"/>
      <c r="AV43" s="18"/>
      <c r="AW43" s="18"/>
      <c r="AX43" s="18"/>
      <c r="AY43" s="18"/>
      <c r="AZ43" s="18"/>
      <c r="BA43" s="18"/>
      <c r="BB43" s="18"/>
      <c r="BC43" s="18"/>
      <c r="BD43" s="18"/>
      <c r="BE43" s="18"/>
      <c r="BF43" s="18"/>
      <c r="BG43" s="157"/>
      <c r="BH43" s="157"/>
      <c r="BI43" s="157"/>
      <c r="BJ43" s="157"/>
      <c r="BK43" s="157"/>
      <c r="BL43" s="157"/>
      <c r="BM43" s="157"/>
      <c r="BN43" s="157"/>
      <c r="BO43" s="157"/>
      <c r="BP43" s="157"/>
      <c r="BQ43" s="157"/>
      <c r="BR43" s="157"/>
      <c r="BS43" s="157"/>
      <c r="BT43" s="157"/>
    </row>
    <row r="44" spans="2:72" s="20" customFormat="1" ht="14">
      <c r="B44" s="272" t="s">
        <v>170</v>
      </c>
      <c r="C44" s="273" t="s">
        <v>192</v>
      </c>
      <c r="D44" s="271" t="s">
        <v>217</v>
      </c>
      <c r="E44" s="166"/>
      <c r="F44" s="253"/>
      <c r="G44" s="243"/>
      <c r="H44" s="181"/>
      <c r="I44" s="182"/>
      <c r="J44" s="253"/>
      <c r="K44" s="243"/>
      <c r="L44" s="181"/>
      <c r="M44" s="182"/>
      <c r="N44" s="165"/>
      <c r="O44" s="165"/>
      <c r="P44" s="253"/>
      <c r="Q44" s="243"/>
      <c r="R44" s="181"/>
      <c r="S44" s="182"/>
      <c r="T44" s="253"/>
      <c r="U44" s="243"/>
      <c r="V44" s="243"/>
      <c r="W44" s="184"/>
      <c r="X44" s="169"/>
      <c r="Y44" s="158"/>
      <c r="Z44" s="270"/>
      <c r="AA44" s="172" t="s">
        <v>219</v>
      </c>
      <c r="AB44" s="158"/>
      <c r="AC44" s="247"/>
      <c r="AD44" s="158"/>
      <c r="AE44" s="158"/>
      <c r="AF44" s="158"/>
      <c r="AG44" s="158"/>
      <c r="AH44" s="158"/>
      <c r="AI44" s="158"/>
      <c r="AJ44" s="158"/>
      <c r="AK44" s="158"/>
      <c r="AL44" s="18"/>
      <c r="AM44" s="18"/>
      <c r="AN44" s="18"/>
      <c r="AO44" s="18"/>
      <c r="AP44" s="18"/>
      <c r="AQ44" s="18"/>
      <c r="AR44" s="18"/>
      <c r="AS44" s="18"/>
      <c r="AT44" s="18"/>
      <c r="AU44" s="18"/>
      <c r="AV44" s="18"/>
      <c r="AW44" s="18"/>
      <c r="AX44" s="18"/>
      <c r="AY44" s="18"/>
      <c r="AZ44" s="18"/>
      <c r="BA44" s="18"/>
      <c r="BB44" s="18"/>
      <c r="BC44" s="18"/>
      <c r="BD44" s="18"/>
      <c r="BE44" s="18"/>
      <c r="BF44" s="18"/>
      <c r="BG44" s="157"/>
      <c r="BH44" s="157"/>
      <c r="BI44" s="157"/>
      <c r="BJ44" s="157"/>
      <c r="BK44" s="157"/>
      <c r="BL44" s="157"/>
      <c r="BM44" s="157"/>
      <c r="BN44" s="157"/>
      <c r="BO44" s="157"/>
      <c r="BP44" s="157"/>
      <c r="BQ44" s="157"/>
      <c r="BR44" s="157"/>
      <c r="BS44" s="157"/>
      <c r="BT44" s="157"/>
    </row>
    <row r="45" spans="2:72" s="20" customFormat="1" ht="14">
      <c r="B45" s="272" t="s">
        <v>172</v>
      </c>
      <c r="C45" s="273" t="s">
        <v>215</v>
      </c>
      <c r="D45" s="271" t="s">
        <v>218</v>
      </c>
      <c r="E45" s="166"/>
      <c r="F45" s="253"/>
      <c r="G45" s="243"/>
      <c r="H45" s="181"/>
      <c r="I45" s="182"/>
      <c r="J45" s="253"/>
      <c r="K45" s="243"/>
      <c r="L45" s="181"/>
      <c r="M45" s="182"/>
      <c r="N45" s="165"/>
      <c r="O45" s="165"/>
      <c r="P45" s="253"/>
      <c r="Q45" s="243"/>
      <c r="R45" s="181"/>
      <c r="S45" s="182"/>
      <c r="T45" s="253"/>
      <c r="U45" s="243"/>
      <c r="V45" s="243"/>
      <c r="W45" s="184"/>
      <c r="X45" s="169"/>
      <c r="Y45" s="158"/>
      <c r="Z45" s="270"/>
      <c r="AA45" s="172" t="s">
        <v>221</v>
      </c>
      <c r="AB45" s="158"/>
      <c r="AC45" s="247"/>
      <c r="AD45" s="158"/>
      <c r="AE45" s="158"/>
      <c r="AF45" s="158"/>
      <c r="AG45" s="158"/>
      <c r="AH45" s="158"/>
      <c r="AI45" s="158"/>
      <c r="AJ45" s="158"/>
      <c r="AK45" s="158"/>
      <c r="AL45" s="18"/>
      <c r="AM45" s="18"/>
      <c r="AN45" s="18"/>
      <c r="AO45" s="18"/>
      <c r="AP45" s="18"/>
      <c r="AQ45" s="18"/>
      <c r="AR45" s="18"/>
      <c r="AS45" s="18"/>
      <c r="AT45" s="18"/>
      <c r="AU45" s="18"/>
      <c r="AV45" s="18"/>
      <c r="AW45" s="18"/>
      <c r="AX45" s="18"/>
      <c r="AY45" s="18"/>
      <c r="AZ45" s="18"/>
      <c r="BA45" s="18"/>
      <c r="BB45" s="18"/>
      <c r="BC45" s="18"/>
      <c r="BD45" s="18"/>
      <c r="BE45" s="18"/>
      <c r="BF45" s="18"/>
      <c r="BG45" s="157"/>
      <c r="BH45" s="157"/>
      <c r="BI45" s="157"/>
      <c r="BJ45" s="157"/>
      <c r="BK45" s="157"/>
      <c r="BL45" s="157"/>
      <c r="BM45" s="157"/>
      <c r="BN45" s="157"/>
      <c r="BO45" s="157"/>
      <c r="BP45" s="157"/>
      <c r="BQ45" s="157"/>
      <c r="BR45" s="157"/>
      <c r="BS45" s="157"/>
      <c r="BT45" s="157"/>
    </row>
    <row r="46" spans="2:72" s="20" customFormat="1" ht="14">
      <c r="B46" s="272" t="s">
        <v>177</v>
      </c>
      <c r="C46" s="273" t="s">
        <v>222</v>
      </c>
      <c r="D46" s="271" t="s">
        <v>220</v>
      </c>
      <c r="E46" s="166"/>
      <c r="F46" s="253"/>
      <c r="G46" s="243"/>
      <c r="H46" s="181"/>
      <c r="I46" s="182"/>
      <c r="J46" s="253"/>
      <c r="K46" s="243"/>
      <c r="L46" s="181"/>
      <c r="M46" s="182"/>
      <c r="N46" s="165"/>
      <c r="O46" s="165"/>
      <c r="P46" s="253"/>
      <c r="Q46" s="243"/>
      <c r="R46" s="181"/>
      <c r="S46" s="182"/>
      <c r="T46" s="253"/>
      <c r="U46" s="243"/>
      <c r="V46" s="243"/>
      <c r="W46" s="184"/>
      <c r="X46" s="169"/>
      <c r="Y46" s="158"/>
      <c r="Z46" s="270"/>
      <c r="AA46" s="172" t="s">
        <v>224</v>
      </c>
      <c r="AB46" s="158"/>
      <c r="AC46" s="247"/>
      <c r="AD46" s="158"/>
      <c r="AE46" s="158"/>
      <c r="AF46" s="158"/>
      <c r="AG46" s="158"/>
      <c r="AH46" s="158"/>
      <c r="AI46" s="158"/>
      <c r="AJ46" s="158"/>
      <c r="AK46" s="158"/>
      <c r="AL46" s="18"/>
      <c r="AM46" s="18"/>
      <c r="AN46" s="18"/>
      <c r="AO46" s="18"/>
      <c r="AP46" s="18"/>
      <c r="AQ46" s="18"/>
      <c r="AR46" s="18"/>
      <c r="AS46" s="18"/>
      <c r="AT46" s="18"/>
      <c r="AU46" s="18"/>
      <c r="AV46" s="18"/>
      <c r="AW46" s="18"/>
      <c r="AX46" s="18"/>
      <c r="AY46" s="18"/>
      <c r="AZ46" s="18"/>
      <c r="BA46" s="18"/>
      <c r="BB46" s="18"/>
      <c r="BC46" s="18"/>
      <c r="BD46" s="18"/>
      <c r="BE46" s="18"/>
      <c r="BF46" s="18"/>
      <c r="BG46" s="157"/>
      <c r="BH46" s="157"/>
      <c r="BI46" s="157"/>
      <c r="BJ46" s="157"/>
      <c r="BK46" s="157"/>
      <c r="BL46" s="157"/>
      <c r="BM46" s="157"/>
      <c r="BN46" s="157"/>
      <c r="BO46" s="157"/>
      <c r="BP46" s="157"/>
      <c r="BQ46" s="157"/>
      <c r="BR46" s="157"/>
      <c r="BS46" s="157"/>
      <c r="BT46" s="157"/>
    </row>
    <row r="47" spans="2:72" s="20" customFormat="1" ht="16.5" customHeight="1">
      <c r="B47" s="272" t="s">
        <v>180</v>
      </c>
      <c r="C47" s="244" t="s">
        <v>327</v>
      </c>
      <c r="D47" s="271" t="s">
        <v>223</v>
      </c>
      <c r="E47" s="166"/>
      <c r="F47" s="253"/>
      <c r="G47" s="243"/>
      <c r="H47" s="181"/>
      <c r="I47" s="182"/>
      <c r="J47" s="253"/>
      <c r="K47" s="243"/>
      <c r="L47" s="181"/>
      <c r="M47" s="182"/>
      <c r="N47" s="165"/>
      <c r="O47" s="165"/>
      <c r="P47" s="253"/>
      <c r="Q47" s="243"/>
      <c r="R47" s="181"/>
      <c r="S47" s="182"/>
      <c r="T47" s="253"/>
      <c r="U47" s="243"/>
      <c r="V47" s="243"/>
      <c r="W47" s="184"/>
      <c r="X47" s="169"/>
      <c r="Y47" s="158"/>
      <c r="Z47" s="270"/>
      <c r="AA47" s="172" t="s">
        <v>228</v>
      </c>
      <c r="AB47" s="158"/>
      <c r="AC47" s="247"/>
      <c r="AD47" s="158"/>
      <c r="AE47" s="158"/>
      <c r="AF47" s="158"/>
      <c r="AG47" s="158"/>
      <c r="AH47" s="158"/>
      <c r="AI47" s="158"/>
      <c r="AJ47" s="158"/>
      <c r="AK47" s="158"/>
      <c r="AL47" s="18"/>
      <c r="AM47" s="18"/>
      <c r="AN47" s="18"/>
      <c r="AO47" s="18"/>
      <c r="AP47" s="18"/>
      <c r="AQ47" s="18"/>
      <c r="AR47" s="18"/>
      <c r="AS47" s="18"/>
      <c r="AT47" s="18"/>
      <c r="AU47" s="18"/>
      <c r="AV47" s="18"/>
      <c r="AW47" s="18"/>
      <c r="AX47" s="18"/>
      <c r="AY47" s="18"/>
      <c r="AZ47" s="18"/>
      <c r="BA47" s="18"/>
      <c r="BB47" s="18"/>
      <c r="BC47" s="18"/>
      <c r="BD47" s="18"/>
      <c r="BE47" s="18"/>
      <c r="BF47" s="18"/>
      <c r="BG47" s="157"/>
      <c r="BH47" s="157"/>
      <c r="BI47" s="157"/>
      <c r="BJ47" s="157"/>
      <c r="BK47" s="157"/>
      <c r="BL47" s="157"/>
      <c r="BM47" s="157"/>
      <c r="BN47" s="157"/>
      <c r="BO47" s="157"/>
      <c r="BP47" s="157"/>
      <c r="BQ47" s="157"/>
      <c r="BR47" s="157"/>
      <c r="BS47" s="157"/>
      <c r="BT47" s="157"/>
    </row>
    <row r="48" spans="2:72" s="20" customFormat="1" ht="14">
      <c r="B48" s="272" t="s">
        <v>183</v>
      </c>
      <c r="C48" s="244" t="s">
        <v>328</v>
      </c>
      <c r="D48" s="271" t="s">
        <v>226</v>
      </c>
      <c r="E48" s="166"/>
      <c r="F48" s="253"/>
      <c r="G48" s="243"/>
      <c r="H48" s="181"/>
      <c r="I48" s="182"/>
      <c r="J48" s="253"/>
      <c r="K48" s="243"/>
      <c r="L48" s="181"/>
      <c r="M48" s="182"/>
      <c r="N48" s="165"/>
      <c r="O48" s="165"/>
      <c r="P48" s="253"/>
      <c r="Q48" s="243"/>
      <c r="R48" s="181"/>
      <c r="S48" s="182"/>
      <c r="T48" s="253"/>
      <c r="U48" s="243"/>
      <c r="V48" s="243"/>
      <c r="W48" s="184"/>
      <c r="X48" s="169"/>
      <c r="Y48" s="158"/>
      <c r="Z48" s="270"/>
      <c r="AA48" s="172" t="s">
        <v>319</v>
      </c>
      <c r="AB48" s="158"/>
      <c r="AC48" s="247"/>
      <c r="AD48" s="158"/>
      <c r="AE48" s="158"/>
      <c r="AF48" s="158"/>
      <c r="AG48" s="158"/>
      <c r="AH48" s="158"/>
      <c r="AI48" s="158"/>
      <c r="AJ48" s="158"/>
      <c r="AK48" s="158"/>
      <c r="AL48" s="18"/>
      <c r="AM48" s="18"/>
      <c r="AN48" s="18"/>
      <c r="AO48" s="18"/>
      <c r="AP48" s="18"/>
      <c r="AQ48" s="18"/>
      <c r="AR48" s="18"/>
      <c r="AS48" s="18"/>
      <c r="AT48" s="18"/>
      <c r="AU48" s="18"/>
      <c r="AV48" s="18"/>
      <c r="AW48" s="18"/>
      <c r="AX48" s="18"/>
      <c r="AY48" s="18"/>
      <c r="AZ48" s="18"/>
      <c r="BA48" s="18"/>
      <c r="BB48" s="18"/>
      <c r="BC48" s="18"/>
      <c r="BD48" s="18"/>
      <c r="BE48" s="18"/>
      <c r="BF48" s="18"/>
      <c r="BG48" s="157"/>
      <c r="BH48" s="157"/>
      <c r="BI48" s="157"/>
      <c r="BJ48" s="157"/>
      <c r="BK48" s="157"/>
      <c r="BL48" s="157"/>
      <c r="BM48" s="157"/>
      <c r="BN48" s="157"/>
      <c r="BO48" s="157"/>
      <c r="BP48" s="157"/>
      <c r="BQ48" s="157"/>
      <c r="BR48" s="157"/>
      <c r="BS48" s="157"/>
      <c r="BT48" s="157"/>
    </row>
    <row r="49" spans="2:72" s="20" customFormat="1" ht="14">
      <c r="B49" s="272" t="s">
        <v>184</v>
      </c>
      <c r="C49" s="273" t="s">
        <v>229</v>
      </c>
      <c r="D49" s="271" t="s">
        <v>230</v>
      </c>
      <c r="E49" s="166"/>
      <c r="F49" s="253"/>
      <c r="G49" s="243"/>
      <c r="H49" s="181"/>
      <c r="I49" s="182"/>
      <c r="J49" s="253"/>
      <c r="K49" s="243"/>
      <c r="L49" s="243"/>
      <c r="M49" s="184"/>
      <c r="N49" s="165"/>
      <c r="O49" s="165"/>
      <c r="P49" s="253"/>
      <c r="Q49" s="243"/>
      <c r="R49" s="243"/>
      <c r="S49" s="184"/>
      <c r="T49" s="253"/>
      <c r="U49" s="243"/>
      <c r="V49" s="181"/>
      <c r="W49" s="182"/>
      <c r="X49" s="169"/>
      <c r="Y49" s="158"/>
      <c r="Z49" s="270"/>
      <c r="AA49" s="172" t="s">
        <v>176</v>
      </c>
      <c r="AB49" s="158"/>
      <c r="AC49" s="247"/>
      <c r="AD49" s="158"/>
      <c r="AE49" s="158"/>
      <c r="AF49" s="158"/>
      <c r="AG49" s="158"/>
      <c r="AH49" s="158"/>
      <c r="AI49" s="158"/>
      <c r="AJ49" s="158"/>
      <c r="AK49" s="158"/>
      <c r="AL49" s="18"/>
      <c r="AM49" s="18"/>
      <c r="AN49" s="18"/>
      <c r="AO49" s="18"/>
      <c r="AP49" s="18"/>
      <c r="AQ49" s="18"/>
      <c r="AR49" s="18"/>
      <c r="AS49" s="18"/>
      <c r="AT49" s="18"/>
      <c r="AU49" s="18"/>
      <c r="AV49" s="18"/>
      <c r="AW49" s="18"/>
      <c r="AX49" s="18"/>
      <c r="AY49" s="18"/>
      <c r="AZ49" s="18"/>
      <c r="BA49" s="18"/>
      <c r="BB49" s="18"/>
      <c r="BC49" s="18"/>
      <c r="BD49" s="18"/>
      <c r="BE49" s="18"/>
      <c r="BF49" s="18"/>
      <c r="BG49" s="157"/>
      <c r="BH49" s="157"/>
      <c r="BI49" s="157"/>
      <c r="BJ49" s="157"/>
      <c r="BK49" s="157"/>
      <c r="BL49" s="157"/>
      <c r="BM49" s="157"/>
      <c r="BN49" s="157"/>
      <c r="BO49" s="157"/>
      <c r="BP49" s="157"/>
      <c r="BQ49" s="157"/>
      <c r="BR49" s="157"/>
      <c r="BS49" s="157"/>
      <c r="BT49" s="157"/>
    </row>
    <row r="50" spans="2:72" s="20" customFormat="1" ht="14">
      <c r="B50" s="272" t="s">
        <v>187</v>
      </c>
      <c r="C50" s="273" t="s">
        <v>232</v>
      </c>
      <c r="D50" s="271" t="s">
        <v>233</v>
      </c>
      <c r="E50" s="166"/>
      <c r="F50" s="253"/>
      <c r="G50" s="243"/>
      <c r="H50" s="181"/>
      <c r="I50" s="182"/>
      <c r="J50" s="253"/>
      <c r="K50" s="243"/>
      <c r="L50" s="243"/>
      <c r="M50" s="184"/>
      <c r="N50" s="165"/>
      <c r="O50" s="165"/>
      <c r="P50" s="253"/>
      <c r="Q50" s="243"/>
      <c r="R50" s="243"/>
      <c r="S50" s="184"/>
      <c r="T50" s="253"/>
      <c r="U50" s="243"/>
      <c r="V50" s="243"/>
      <c r="W50" s="184"/>
      <c r="X50" s="169"/>
      <c r="Y50" s="158"/>
      <c r="Z50" s="270"/>
      <c r="AA50" s="172" t="s">
        <v>179</v>
      </c>
      <c r="AB50" s="158"/>
      <c r="AC50" s="247"/>
      <c r="AD50" s="158"/>
      <c r="AE50" s="158"/>
      <c r="AF50" s="158"/>
      <c r="AG50" s="158"/>
      <c r="AH50" s="158"/>
      <c r="AI50" s="158"/>
      <c r="AJ50" s="158"/>
      <c r="AK50" s="158"/>
      <c r="AL50" s="18"/>
      <c r="AM50" s="18"/>
      <c r="AN50" s="18"/>
      <c r="AO50" s="18"/>
      <c r="AP50" s="18"/>
      <c r="AQ50" s="18"/>
      <c r="AR50" s="18"/>
      <c r="AS50" s="18"/>
      <c r="AT50" s="18"/>
      <c r="AU50" s="18"/>
      <c r="AV50" s="18"/>
      <c r="AW50" s="18"/>
      <c r="AX50" s="18"/>
      <c r="AY50" s="18"/>
      <c r="AZ50" s="18"/>
      <c r="BA50" s="18"/>
      <c r="BB50" s="18"/>
      <c r="BC50" s="18"/>
      <c r="BD50" s="18"/>
      <c r="BE50" s="18"/>
      <c r="BF50" s="18"/>
      <c r="BG50" s="157"/>
      <c r="BH50" s="157"/>
      <c r="BI50" s="157"/>
      <c r="BJ50" s="157"/>
      <c r="BK50" s="157"/>
      <c r="BL50" s="157"/>
      <c r="BM50" s="157"/>
      <c r="BN50" s="157"/>
      <c r="BO50" s="157"/>
      <c r="BP50" s="157"/>
      <c r="BQ50" s="157"/>
      <c r="BR50" s="157"/>
      <c r="BS50" s="157"/>
      <c r="BT50" s="157"/>
    </row>
    <row r="51" spans="2:72" s="20" customFormat="1" ht="14">
      <c r="B51" s="272" t="s">
        <v>190</v>
      </c>
      <c r="C51" s="273" t="s">
        <v>329</v>
      </c>
      <c r="D51" s="271" t="s">
        <v>235</v>
      </c>
      <c r="E51" s="166"/>
      <c r="F51" s="253"/>
      <c r="G51" s="243"/>
      <c r="H51" s="181"/>
      <c r="I51" s="182"/>
      <c r="J51" s="253"/>
      <c r="K51" s="243"/>
      <c r="L51" s="243"/>
      <c r="M51" s="184"/>
      <c r="N51" s="165"/>
      <c r="O51" s="165"/>
      <c r="P51" s="253"/>
      <c r="Q51" s="243"/>
      <c r="R51" s="243"/>
      <c r="S51" s="184"/>
      <c r="T51" s="253"/>
      <c r="U51" s="243"/>
      <c r="V51" s="243"/>
      <c r="W51" s="184"/>
      <c r="X51" s="169"/>
      <c r="Y51" s="158"/>
      <c r="Z51" s="270"/>
      <c r="AA51" s="172" t="s">
        <v>168</v>
      </c>
      <c r="AB51" s="158"/>
      <c r="AC51" s="247"/>
      <c r="AD51" s="158"/>
      <c r="AE51" s="158"/>
      <c r="AF51" s="158"/>
      <c r="AG51" s="158"/>
      <c r="AH51" s="158"/>
      <c r="AI51" s="158"/>
      <c r="AJ51" s="158"/>
      <c r="AK51" s="158"/>
      <c r="AL51" s="18"/>
      <c r="AM51" s="18"/>
      <c r="AN51" s="18"/>
      <c r="AO51" s="18"/>
      <c r="AP51" s="18"/>
      <c r="AQ51" s="18"/>
      <c r="AR51" s="18"/>
      <c r="AS51" s="18"/>
      <c r="AT51" s="18"/>
      <c r="AU51" s="18"/>
      <c r="AV51" s="18"/>
      <c r="AW51" s="18"/>
      <c r="AX51" s="18"/>
      <c r="AY51" s="18"/>
      <c r="AZ51" s="18"/>
      <c r="BA51" s="18"/>
      <c r="BB51" s="18"/>
      <c r="BC51" s="18"/>
      <c r="BD51" s="18"/>
      <c r="BE51" s="18"/>
      <c r="BF51" s="18"/>
      <c r="BG51" s="157"/>
      <c r="BH51" s="157"/>
      <c r="BI51" s="157"/>
      <c r="BJ51" s="157"/>
      <c r="BK51" s="157"/>
      <c r="BL51" s="157"/>
      <c r="BM51" s="157"/>
      <c r="BN51" s="157"/>
      <c r="BO51" s="157"/>
      <c r="BP51" s="157"/>
      <c r="BQ51" s="157"/>
      <c r="BR51" s="157"/>
      <c r="BS51" s="157"/>
      <c r="BT51" s="157"/>
    </row>
    <row r="52" spans="2:72" s="20" customFormat="1" ht="14">
      <c r="B52" s="272" t="s">
        <v>239</v>
      </c>
      <c r="C52" s="273" t="s">
        <v>236</v>
      </c>
      <c r="D52" s="271" t="s">
        <v>237</v>
      </c>
      <c r="E52" s="166"/>
      <c r="F52" s="253"/>
      <c r="G52" s="243"/>
      <c r="H52" s="181"/>
      <c r="I52" s="182"/>
      <c r="J52" s="253"/>
      <c r="K52" s="243"/>
      <c r="L52" s="243"/>
      <c r="M52" s="184"/>
      <c r="N52" s="165"/>
      <c r="O52" s="165"/>
      <c r="P52" s="253"/>
      <c r="Q52" s="243"/>
      <c r="R52" s="181"/>
      <c r="S52" s="182"/>
      <c r="T52" s="253"/>
      <c r="U52" s="243"/>
      <c r="V52" s="243"/>
      <c r="W52" s="184"/>
      <c r="X52" s="169"/>
      <c r="Y52" s="158"/>
      <c r="Z52" s="270"/>
      <c r="AA52" s="172" t="s">
        <v>238</v>
      </c>
      <c r="AB52" s="158"/>
      <c r="AC52" s="247"/>
      <c r="AD52" s="158"/>
      <c r="AE52" s="158"/>
      <c r="AF52" s="158"/>
      <c r="AG52" s="158"/>
      <c r="AH52" s="158"/>
      <c r="AI52" s="158"/>
      <c r="AJ52" s="158"/>
      <c r="AK52" s="158"/>
      <c r="AL52" s="18"/>
      <c r="AM52" s="18"/>
      <c r="AN52" s="18"/>
      <c r="AO52" s="18"/>
      <c r="AP52" s="18"/>
      <c r="AQ52" s="18"/>
      <c r="AR52" s="18"/>
      <c r="AS52" s="18"/>
      <c r="AT52" s="18"/>
      <c r="AU52" s="18"/>
      <c r="AV52" s="18"/>
      <c r="AW52" s="18"/>
      <c r="AX52" s="18"/>
      <c r="AY52" s="18"/>
      <c r="AZ52" s="18"/>
      <c r="BA52" s="18"/>
      <c r="BB52" s="18"/>
      <c r="BC52" s="18"/>
      <c r="BD52" s="18"/>
      <c r="BE52" s="18"/>
      <c r="BF52" s="18"/>
      <c r="BG52" s="157"/>
      <c r="BH52" s="157"/>
      <c r="BI52" s="157"/>
      <c r="BJ52" s="157"/>
      <c r="BK52" s="157"/>
      <c r="BL52" s="157"/>
      <c r="BM52" s="157"/>
      <c r="BN52" s="157"/>
      <c r="BO52" s="157"/>
      <c r="BP52" s="157"/>
      <c r="BQ52" s="157"/>
      <c r="BR52" s="157"/>
      <c r="BS52" s="157"/>
      <c r="BT52" s="157"/>
    </row>
    <row r="53" spans="2:72" s="20" customFormat="1" ht="14">
      <c r="B53" s="272" t="s">
        <v>193</v>
      </c>
      <c r="C53" s="273" t="s">
        <v>240</v>
      </c>
      <c r="D53" s="271" t="s">
        <v>378</v>
      </c>
      <c r="E53" s="166"/>
      <c r="F53" s="253"/>
      <c r="G53" s="243"/>
      <c r="H53" s="181"/>
      <c r="I53" s="182"/>
      <c r="J53" s="253"/>
      <c r="K53" s="243"/>
      <c r="L53" s="181"/>
      <c r="M53" s="182"/>
      <c r="N53" s="165"/>
      <c r="O53" s="165"/>
      <c r="P53" s="253"/>
      <c r="Q53" s="243"/>
      <c r="R53" s="181"/>
      <c r="S53" s="182"/>
      <c r="T53" s="253"/>
      <c r="U53" s="243"/>
      <c r="V53" s="243"/>
      <c r="W53" s="184"/>
      <c r="X53" s="169"/>
      <c r="Y53" s="158"/>
      <c r="Z53" s="270"/>
      <c r="AA53" s="172" t="s">
        <v>241</v>
      </c>
      <c r="AB53" s="158"/>
      <c r="AC53" s="249"/>
      <c r="AD53" s="158"/>
      <c r="AE53" s="158"/>
      <c r="AF53" s="158"/>
      <c r="AG53" s="158"/>
      <c r="AH53" s="158"/>
      <c r="AI53" s="158"/>
      <c r="AJ53" s="158"/>
      <c r="AK53" s="158"/>
      <c r="AL53" s="18"/>
      <c r="AM53" s="18"/>
      <c r="AN53" s="18"/>
      <c r="AO53" s="18"/>
      <c r="AP53" s="18"/>
      <c r="AQ53" s="18"/>
      <c r="AR53" s="18"/>
      <c r="AS53" s="18"/>
      <c r="AT53" s="18"/>
      <c r="AU53" s="18"/>
      <c r="AV53" s="18"/>
      <c r="AW53" s="18"/>
      <c r="AX53" s="18"/>
      <c r="AY53" s="18"/>
      <c r="AZ53" s="18"/>
      <c r="BA53" s="18"/>
      <c r="BB53" s="18"/>
      <c r="BC53" s="18"/>
      <c r="BD53" s="18"/>
      <c r="BE53" s="18"/>
      <c r="BF53" s="18"/>
      <c r="BG53" s="157"/>
      <c r="BH53" s="157"/>
      <c r="BI53" s="157"/>
      <c r="BJ53" s="157"/>
      <c r="BK53" s="157"/>
      <c r="BL53" s="157"/>
      <c r="BM53" s="157"/>
      <c r="BN53" s="157"/>
      <c r="BO53" s="157"/>
      <c r="BP53" s="157"/>
      <c r="BQ53" s="157"/>
      <c r="BR53" s="157"/>
      <c r="BS53" s="157"/>
      <c r="BT53" s="157"/>
    </row>
    <row r="54" spans="2:72" s="20" customFormat="1" ht="14">
      <c r="B54" s="272" t="s">
        <v>195</v>
      </c>
      <c r="C54" s="273" t="s">
        <v>330</v>
      </c>
      <c r="D54" s="271" t="s">
        <v>243</v>
      </c>
      <c r="E54" s="166"/>
      <c r="F54" s="253"/>
      <c r="G54" s="243"/>
      <c r="H54" s="181"/>
      <c r="I54" s="182"/>
      <c r="J54" s="253"/>
      <c r="K54" s="243"/>
      <c r="L54" s="181"/>
      <c r="M54" s="182"/>
      <c r="N54" s="165"/>
      <c r="O54" s="165"/>
      <c r="P54" s="253"/>
      <c r="Q54" s="243"/>
      <c r="R54" s="243"/>
      <c r="S54" s="184"/>
      <c r="T54" s="253"/>
      <c r="U54" s="243"/>
      <c r="V54" s="243"/>
      <c r="W54" s="184"/>
      <c r="X54" s="169"/>
      <c r="Y54" s="158"/>
      <c r="Z54" s="270"/>
      <c r="AA54" s="185" t="s">
        <v>197</v>
      </c>
      <c r="AB54" s="158"/>
      <c r="AC54" s="249"/>
      <c r="AD54" s="158"/>
      <c r="AE54" s="158"/>
      <c r="AF54" s="158"/>
      <c r="AG54" s="158"/>
      <c r="AH54" s="158"/>
      <c r="AI54" s="158"/>
      <c r="AJ54" s="158"/>
      <c r="AK54" s="158"/>
      <c r="AL54" s="18"/>
      <c r="AM54" s="18"/>
      <c r="AN54" s="18"/>
      <c r="AO54" s="18"/>
      <c r="AP54" s="18"/>
      <c r="AQ54" s="18"/>
      <c r="AR54" s="18"/>
      <c r="AS54" s="18"/>
      <c r="AT54" s="18"/>
      <c r="AU54" s="18"/>
      <c r="AV54" s="18"/>
      <c r="AW54" s="18"/>
      <c r="AX54" s="18"/>
      <c r="AY54" s="18"/>
      <c r="AZ54" s="18"/>
      <c r="BA54" s="18"/>
      <c r="BB54" s="18"/>
      <c r="BC54" s="18"/>
      <c r="BD54" s="18"/>
      <c r="BE54" s="18"/>
      <c r="BF54" s="18"/>
      <c r="BG54" s="157"/>
      <c r="BH54" s="157"/>
      <c r="BI54" s="157"/>
      <c r="BJ54" s="157"/>
      <c r="BK54" s="157"/>
      <c r="BL54" s="157"/>
      <c r="BM54" s="157"/>
      <c r="BN54" s="157"/>
      <c r="BO54" s="157"/>
      <c r="BP54" s="157"/>
      <c r="BQ54" s="157"/>
      <c r="BR54" s="157"/>
      <c r="BS54" s="157"/>
      <c r="BT54" s="157"/>
    </row>
    <row r="55" spans="2:72" s="20" customFormat="1" ht="14">
      <c r="B55" s="272" t="s">
        <v>196</v>
      </c>
      <c r="C55" s="273" t="s">
        <v>244</v>
      </c>
      <c r="D55" s="271" t="s">
        <v>245</v>
      </c>
      <c r="E55" s="166"/>
      <c r="F55" s="253"/>
      <c r="G55" s="243"/>
      <c r="H55" s="181"/>
      <c r="I55" s="182"/>
      <c r="J55" s="187"/>
      <c r="K55" s="243"/>
      <c r="L55" s="243"/>
      <c r="M55" s="184"/>
      <c r="N55" s="165"/>
      <c r="O55" s="165"/>
      <c r="P55" s="253"/>
      <c r="Q55" s="243"/>
      <c r="R55" s="243"/>
      <c r="S55" s="184"/>
      <c r="T55" s="253"/>
      <c r="U55" s="243"/>
      <c r="V55" s="243"/>
      <c r="W55" s="184"/>
      <c r="X55" s="169"/>
      <c r="Y55" s="158"/>
      <c r="Z55" s="270"/>
      <c r="AA55" s="185" t="s">
        <v>144</v>
      </c>
      <c r="AB55" s="158"/>
      <c r="AC55" s="249"/>
      <c r="AD55" s="158"/>
      <c r="AE55" s="158"/>
      <c r="AF55" s="158"/>
      <c r="AG55" s="158"/>
      <c r="AH55" s="158"/>
      <c r="AI55" s="158"/>
      <c r="AJ55" s="158"/>
      <c r="AK55" s="158"/>
      <c r="AL55" s="18"/>
      <c r="AM55" s="18"/>
      <c r="AN55" s="18"/>
      <c r="AO55" s="18"/>
      <c r="AP55" s="18"/>
      <c r="AQ55" s="18"/>
      <c r="AR55" s="18"/>
      <c r="AS55" s="18"/>
      <c r="AT55" s="18"/>
      <c r="AU55" s="18"/>
      <c r="AV55" s="18"/>
      <c r="AW55" s="18"/>
      <c r="AX55" s="18"/>
      <c r="AY55" s="18"/>
      <c r="AZ55" s="18"/>
      <c r="BA55" s="18"/>
      <c r="BB55" s="18"/>
      <c r="BC55" s="18"/>
      <c r="BD55" s="18"/>
      <c r="BE55" s="18"/>
      <c r="BF55" s="18"/>
      <c r="BG55" s="157"/>
      <c r="BH55" s="157"/>
      <c r="BI55" s="157"/>
      <c r="BJ55" s="157"/>
      <c r="BK55" s="157"/>
      <c r="BL55" s="157"/>
      <c r="BM55" s="157"/>
      <c r="BN55" s="157"/>
      <c r="BO55" s="157"/>
      <c r="BP55" s="157"/>
      <c r="BQ55" s="157"/>
      <c r="BR55" s="157"/>
      <c r="BS55" s="157"/>
      <c r="BT55" s="157"/>
    </row>
    <row r="56" spans="2:72" s="20" customFormat="1" ht="14">
      <c r="B56" s="272" t="s">
        <v>199</v>
      </c>
      <c r="C56" s="273" t="s">
        <v>331</v>
      </c>
      <c r="D56" s="271" t="s">
        <v>247</v>
      </c>
      <c r="E56" s="166"/>
      <c r="F56" s="253"/>
      <c r="G56" s="243"/>
      <c r="H56" s="181"/>
      <c r="I56" s="182"/>
      <c r="J56" s="253"/>
      <c r="K56" s="243"/>
      <c r="L56" s="243"/>
      <c r="M56" s="184"/>
      <c r="N56" s="165"/>
      <c r="O56" s="165"/>
      <c r="P56" s="253"/>
      <c r="Q56" s="243"/>
      <c r="R56" s="243"/>
      <c r="S56" s="184"/>
      <c r="T56" s="253"/>
      <c r="U56" s="243"/>
      <c r="V56" s="243"/>
      <c r="W56" s="184"/>
      <c r="X56" s="169"/>
      <c r="Y56" s="158"/>
      <c r="Z56" s="270"/>
      <c r="AA56" s="185" t="s">
        <v>150</v>
      </c>
      <c r="AB56" s="158"/>
      <c r="AC56" s="250"/>
      <c r="AD56" s="158"/>
      <c r="AE56" s="158"/>
      <c r="AF56" s="158"/>
      <c r="AG56" s="158"/>
      <c r="AH56" s="158"/>
      <c r="AI56" s="158"/>
      <c r="AJ56" s="158"/>
      <c r="AK56" s="158"/>
      <c r="AL56" s="18"/>
      <c r="AM56" s="18"/>
      <c r="AN56" s="18"/>
      <c r="AO56" s="18"/>
      <c r="AP56" s="18"/>
      <c r="AQ56" s="18"/>
      <c r="AR56" s="18"/>
      <c r="AS56" s="18"/>
      <c r="AT56" s="18"/>
      <c r="AU56" s="18"/>
      <c r="AV56" s="18"/>
      <c r="AW56" s="18"/>
      <c r="AX56" s="18"/>
      <c r="AY56" s="18"/>
      <c r="AZ56" s="18"/>
      <c r="BA56" s="18"/>
      <c r="BB56" s="18"/>
      <c r="BC56" s="18"/>
      <c r="BD56" s="18"/>
      <c r="BE56" s="18"/>
      <c r="BF56" s="18"/>
      <c r="BG56" s="157"/>
      <c r="BH56" s="157"/>
      <c r="BI56" s="157"/>
      <c r="BJ56" s="157"/>
      <c r="BK56" s="157"/>
      <c r="BL56" s="157"/>
      <c r="BM56" s="157"/>
      <c r="BN56" s="157"/>
      <c r="BO56" s="157"/>
      <c r="BP56" s="157"/>
      <c r="BQ56" s="157"/>
      <c r="BR56" s="157"/>
      <c r="BS56" s="157"/>
      <c r="BT56" s="157"/>
    </row>
    <row r="57" spans="2:72" s="20" customFormat="1" ht="14">
      <c r="B57" s="272" t="s">
        <v>202</v>
      </c>
      <c r="C57" s="273" t="s">
        <v>248</v>
      </c>
      <c r="D57" s="186" t="s">
        <v>336</v>
      </c>
      <c r="E57" s="166"/>
      <c r="F57" s="253"/>
      <c r="G57" s="243"/>
      <c r="H57" s="181"/>
      <c r="I57" s="182"/>
      <c r="J57" s="253"/>
      <c r="K57" s="243"/>
      <c r="L57" s="243"/>
      <c r="M57" s="184"/>
      <c r="N57" s="165"/>
      <c r="O57" s="165"/>
      <c r="P57" s="253"/>
      <c r="Q57" s="243"/>
      <c r="R57" s="243"/>
      <c r="S57" s="184"/>
      <c r="T57" s="253"/>
      <c r="U57" s="243"/>
      <c r="V57" s="243"/>
      <c r="W57" s="184"/>
      <c r="X57" s="169"/>
      <c r="Y57" s="158"/>
      <c r="Z57" s="270"/>
      <c r="AA57" s="188" t="s">
        <v>203</v>
      </c>
      <c r="AB57" s="158"/>
      <c r="AC57" s="250"/>
      <c r="AD57" s="158"/>
      <c r="AE57" s="158"/>
      <c r="AF57" s="158"/>
      <c r="AG57" s="158"/>
      <c r="AH57" s="158"/>
      <c r="AI57" s="158"/>
      <c r="AJ57" s="158"/>
      <c r="AK57" s="158"/>
      <c r="AL57" s="18"/>
      <c r="AM57" s="18"/>
      <c r="AN57" s="18"/>
      <c r="AO57" s="18"/>
      <c r="AP57" s="18"/>
      <c r="AQ57" s="18"/>
      <c r="AR57" s="18"/>
      <c r="AS57" s="18"/>
      <c r="AT57" s="18"/>
      <c r="AU57" s="18"/>
      <c r="AV57" s="18"/>
      <c r="AW57" s="18"/>
      <c r="AX57" s="18"/>
      <c r="AY57" s="18"/>
      <c r="AZ57" s="18"/>
      <c r="BA57" s="18"/>
      <c r="BB57" s="18"/>
      <c r="BC57" s="18"/>
      <c r="BD57" s="18"/>
      <c r="BE57" s="18"/>
      <c r="BF57" s="18"/>
      <c r="BG57" s="157"/>
      <c r="BH57" s="157"/>
      <c r="BI57" s="157"/>
      <c r="BJ57" s="157"/>
      <c r="BK57" s="157"/>
      <c r="BL57" s="157"/>
      <c r="BM57" s="157"/>
      <c r="BN57" s="157"/>
      <c r="BO57" s="157"/>
      <c r="BP57" s="157"/>
      <c r="BQ57" s="157"/>
      <c r="BR57" s="157"/>
      <c r="BS57" s="157"/>
      <c r="BT57" s="157"/>
    </row>
    <row r="58" spans="2:72" s="20" customFormat="1" ht="14">
      <c r="B58" s="183" t="s">
        <v>324</v>
      </c>
      <c r="C58" s="273" t="s">
        <v>250</v>
      </c>
      <c r="D58" s="271" t="s">
        <v>227</v>
      </c>
      <c r="E58" s="166"/>
      <c r="F58" s="253"/>
      <c r="G58" s="243"/>
      <c r="H58" s="181"/>
      <c r="I58" s="182"/>
      <c r="J58" s="253"/>
      <c r="K58" s="243"/>
      <c r="L58" s="243"/>
      <c r="M58" s="184"/>
      <c r="N58" s="165"/>
      <c r="O58" s="165"/>
      <c r="P58" s="253"/>
      <c r="Q58" s="243"/>
      <c r="R58" s="243"/>
      <c r="S58" s="184"/>
      <c r="T58" s="253"/>
      <c r="U58" s="243"/>
      <c r="V58" s="243"/>
      <c r="W58" s="184"/>
      <c r="X58" s="169"/>
      <c r="Y58" s="158"/>
      <c r="Z58" s="270"/>
      <c r="AA58" s="188" t="s">
        <v>108</v>
      </c>
      <c r="AB58" s="158"/>
      <c r="AC58" s="250"/>
      <c r="AD58" s="158"/>
      <c r="AE58" s="158"/>
      <c r="AF58" s="158"/>
      <c r="AG58" s="158"/>
      <c r="AH58" s="158"/>
      <c r="AI58" s="158"/>
      <c r="AJ58" s="158"/>
      <c r="AK58" s="158"/>
      <c r="AL58" s="18"/>
      <c r="AM58" s="18"/>
      <c r="AN58" s="18"/>
      <c r="AO58" s="18"/>
      <c r="AP58" s="18"/>
      <c r="AQ58" s="18"/>
      <c r="AR58" s="18"/>
      <c r="AS58" s="18"/>
      <c r="AT58" s="18"/>
      <c r="AU58" s="18"/>
      <c r="AV58" s="18"/>
      <c r="AW58" s="18"/>
      <c r="AX58" s="18"/>
      <c r="AY58" s="18"/>
      <c r="AZ58" s="18"/>
      <c r="BA58" s="18"/>
      <c r="BB58" s="18"/>
      <c r="BC58" s="18"/>
      <c r="BD58" s="18"/>
      <c r="BE58" s="18"/>
      <c r="BF58" s="18"/>
      <c r="BG58" s="157"/>
      <c r="BH58" s="157"/>
      <c r="BI58" s="157"/>
      <c r="BJ58" s="157"/>
      <c r="BK58" s="157"/>
      <c r="BL58" s="157"/>
      <c r="BM58" s="157"/>
      <c r="BN58" s="157"/>
      <c r="BO58" s="157"/>
      <c r="BP58" s="157"/>
      <c r="BQ58" s="157"/>
      <c r="BR58" s="157"/>
      <c r="BS58" s="157"/>
      <c r="BT58" s="157"/>
    </row>
    <row r="59" spans="2:72" s="20" customFormat="1" ht="14">
      <c r="B59" s="272" t="s">
        <v>212</v>
      </c>
      <c r="C59" s="273" t="s">
        <v>332</v>
      </c>
      <c r="D59" s="271" t="s">
        <v>252</v>
      </c>
      <c r="E59" s="166"/>
      <c r="F59" s="253"/>
      <c r="G59" s="243"/>
      <c r="H59" s="181"/>
      <c r="I59" s="182"/>
      <c r="J59" s="253"/>
      <c r="K59" s="243"/>
      <c r="L59" s="243"/>
      <c r="M59" s="184"/>
      <c r="N59" s="165"/>
      <c r="O59" s="165"/>
      <c r="P59" s="253"/>
      <c r="Q59" s="243"/>
      <c r="R59" s="243"/>
      <c r="S59" s="184"/>
      <c r="T59" s="253"/>
      <c r="U59" s="243"/>
      <c r="V59" s="243"/>
      <c r="W59" s="184"/>
      <c r="X59" s="169"/>
      <c r="Y59" s="158"/>
      <c r="Z59" s="270"/>
      <c r="AA59" s="188" t="s">
        <v>253</v>
      </c>
      <c r="AB59" s="158"/>
      <c r="AC59" s="249"/>
      <c r="AD59" s="158"/>
      <c r="AE59" s="158"/>
      <c r="AF59" s="158"/>
      <c r="AG59" s="158"/>
      <c r="AH59" s="158"/>
      <c r="AI59" s="158"/>
      <c r="AJ59" s="158"/>
      <c r="AK59" s="158"/>
      <c r="AL59" s="18"/>
      <c r="AM59" s="18"/>
      <c r="AN59" s="18"/>
      <c r="AO59" s="18"/>
      <c r="AP59" s="18"/>
      <c r="AQ59" s="18"/>
      <c r="AR59" s="18"/>
      <c r="AS59" s="18"/>
      <c r="AT59" s="18"/>
      <c r="AU59" s="18"/>
      <c r="AV59" s="18"/>
      <c r="AW59" s="18"/>
      <c r="AX59" s="18"/>
      <c r="AY59" s="18"/>
      <c r="AZ59" s="18"/>
      <c r="BA59" s="18"/>
      <c r="BB59" s="18"/>
      <c r="BC59" s="18"/>
      <c r="BD59" s="18"/>
      <c r="BE59" s="18"/>
      <c r="BF59" s="18"/>
      <c r="BG59" s="157"/>
      <c r="BH59" s="157"/>
      <c r="BI59" s="157"/>
      <c r="BJ59" s="157"/>
      <c r="BK59" s="157"/>
      <c r="BL59" s="157"/>
      <c r="BM59" s="157"/>
      <c r="BN59" s="157"/>
      <c r="BO59" s="157"/>
      <c r="BP59" s="157"/>
      <c r="BQ59" s="157"/>
      <c r="BR59" s="157"/>
      <c r="BS59" s="157"/>
      <c r="BT59" s="157"/>
    </row>
    <row r="60" spans="2:72" s="20" customFormat="1" ht="14">
      <c r="B60" s="272" t="s">
        <v>219</v>
      </c>
      <c r="C60" s="273" t="s">
        <v>254</v>
      </c>
      <c r="D60" s="271" t="s">
        <v>255</v>
      </c>
      <c r="E60" s="166"/>
      <c r="F60" s="253"/>
      <c r="G60" s="243"/>
      <c r="H60" s="181"/>
      <c r="I60" s="182"/>
      <c r="J60" s="187"/>
      <c r="K60" s="243"/>
      <c r="L60" s="243"/>
      <c r="M60" s="184"/>
      <c r="N60" s="165"/>
      <c r="O60" s="165"/>
      <c r="P60" s="253"/>
      <c r="Q60" s="243"/>
      <c r="R60" s="243"/>
      <c r="S60" s="184"/>
      <c r="T60" s="253"/>
      <c r="U60" s="243"/>
      <c r="V60" s="243"/>
      <c r="W60" s="184"/>
      <c r="X60" s="169"/>
      <c r="Y60" s="158"/>
      <c r="Z60" s="270"/>
      <c r="AA60" s="185" t="s">
        <v>171</v>
      </c>
      <c r="AB60" s="158"/>
      <c r="AC60" s="249"/>
      <c r="AD60" s="158"/>
      <c r="AE60" s="158"/>
      <c r="AF60" s="158"/>
      <c r="AG60" s="158"/>
      <c r="AH60" s="158"/>
      <c r="AI60" s="158"/>
      <c r="AJ60" s="158"/>
      <c r="AK60" s="158"/>
      <c r="AL60" s="18"/>
      <c r="AM60" s="18"/>
      <c r="AN60" s="18"/>
      <c r="AO60" s="18"/>
      <c r="AP60" s="18"/>
      <c r="AQ60" s="18"/>
      <c r="AR60" s="18"/>
      <c r="AS60" s="18"/>
      <c r="AT60" s="18"/>
      <c r="AU60" s="18"/>
      <c r="AV60" s="18"/>
      <c r="AW60" s="18"/>
      <c r="AX60" s="18"/>
      <c r="AY60" s="18"/>
      <c r="AZ60" s="18"/>
      <c r="BA60" s="18"/>
      <c r="BB60" s="18"/>
      <c r="BC60" s="18"/>
      <c r="BD60" s="18"/>
      <c r="BE60" s="18"/>
      <c r="BF60" s="18"/>
      <c r="BG60" s="157"/>
      <c r="BH60" s="157"/>
      <c r="BI60" s="157"/>
      <c r="BJ60" s="157"/>
      <c r="BK60" s="157"/>
      <c r="BL60" s="157"/>
      <c r="BM60" s="157"/>
      <c r="BN60" s="157"/>
      <c r="BO60" s="157"/>
      <c r="BP60" s="157"/>
      <c r="BQ60" s="157"/>
      <c r="BR60" s="157"/>
      <c r="BS60" s="157"/>
      <c r="BT60" s="157"/>
    </row>
    <row r="61" spans="2:72" s="20" customFormat="1" ht="14">
      <c r="B61" s="272" t="s">
        <v>221</v>
      </c>
      <c r="C61" s="273" t="s">
        <v>256</v>
      </c>
      <c r="D61" s="271" t="s">
        <v>337</v>
      </c>
      <c r="E61" s="166"/>
      <c r="F61" s="253"/>
      <c r="G61" s="243"/>
      <c r="H61" s="181"/>
      <c r="I61" s="182"/>
      <c r="J61" s="187"/>
      <c r="K61" s="243"/>
      <c r="L61" s="243"/>
      <c r="M61" s="184"/>
      <c r="N61" s="165"/>
      <c r="O61" s="165"/>
      <c r="P61" s="253"/>
      <c r="Q61" s="243"/>
      <c r="R61" s="243"/>
      <c r="S61" s="184"/>
      <c r="T61" s="253"/>
      <c r="U61" s="243"/>
      <c r="V61" s="243"/>
      <c r="W61" s="184"/>
      <c r="X61" s="169"/>
      <c r="Y61" s="158"/>
      <c r="Z61" s="270"/>
      <c r="AA61" s="185" t="s">
        <v>188</v>
      </c>
      <c r="AB61" s="158"/>
      <c r="AC61" s="247"/>
      <c r="AD61" s="158"/>
      <c r="AE61" s="158"/>
      <c r="AF61" s="158"/>
      <c r="AG61" s="158"/>
      <c r="AH61" s="158"/>
      <c r="AI61" s="158"/>
      <c r="AJ61" s="158"/>
      <c r="AK61" s="158"/>
      <c r="AL61" s="18"/>
      <c r="AM61" s="18"/>
      <c r="AN61" s="18"/>
      <c r="AO61" s="18"/>
      <c r="AP61" s="18"/>
      <c r="AQ61" s="18"/>
      <c r="AR61" s="18"/>
      <c r="AS61" s="18"/>
      <c r="AT61" s="18"/>
      <c r="AU61" s="18"/>
      <c r="AV61" s="18"/>
      <c r="AW61" s="18"/>
      <c r="AX61" s="18"/>
      <c r="AY61" s="18"/>
      <c r="AZ61" s="18"/>
      <c r="BA61" s="18"/>
      <c r="BB61" s="18"/>
      <c r="BC61" s="18"/>
      <c r="BD61" s="18"/>
      <c r="BE61" s="18"/>
      <c r="BF61" s="18"/>
      <c r="BG61" s="157"/>
      <c r="BH61" s="157"/>
      <c r="BI61" s="157"/>
      <c r="BJ61" s="157"/>
      <c r="BK61" s="157"/>
      <c r="BL61" s="157"/>
      <c r="BM61" s="157"/>
      <c r="BN61" s="157"/>
      <c r="BO61" s="157"/>
      <c r="BP61" s="157"/>
      <c r="BQ61" s="157"/>
      <c r="BR61" s="157"/>
      <c r="BS61" s="157"/>
      <c r="BT61" s="157"/>
    </row>
    <row r="62" spans="2:72" s="20" customFormat="1" ht="14">
      <c r="B62" s="272" t="s">
        <v>224</v>
      </c>
      <c r="C62" s="273" t="s">
        <v>333</v>
      </c>
      <c r="D62" s="271" t="s">
        <v>231</v>
      </c>
      <c r="E62" s="166"/>
      <c r="F62" s="253"/>
      <c r="G62" s="243"/>
      <c r="H62" s="181"/>
      <c r="I62" s="182"/>
      <c r="J62" s="187"/>
      <c r="K62" s="243"/>
      <c r="L62" s="243"/>
      <c r="M62" s="184"/>
      <c r="N62" s="165"/>
      <c r="O62" s="165"/>
      <c r="P62" s="253"/>
      <c r="Q62" s="243"/>
      <c r="R62" s="243"/>
      <c r="S62" s="184"/>
      <c r="T62" s="253"/>
      <c r="U62" s="243"/>
      <c r="V62" s="243"/>
      <c r="W62" s="184"/>
      <c r="X62" s="274"/>
      <c r="Y62" s="2"/>
      <c r="Z62" s="270"/>
      <c r="AA62" s="172" t="s">
        <v>173</v>
      </c>
      <c r="AB62" s="2"/>
      <c r="AC62" s="251"/>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3"/>
      <c r="BH62" s="3"/>
      <c r="BI62" s="3"/>
      <c r="BJ62" s="3"/>
      <c r="BK62" s="3"/>
      <c r="BL62" s="3"/>
      <c r="BM62" s="3"/>
      <c r="BN62" s="3"/>
      <c r="BO62" s="3"/>
      <c r="BP62" s="3"/>
      <c r="BQ62" s="3"/>
      <c r="BR62" s="3"/>
      <c r="BS62" s="3"/>
      <c r="BT62" s="3"/>
    </row>
    <row r="63" spans="2:72" s="20" customFormat="1" ht="14">
      <c r="B63" s="272" t="s">
        <v>228</v>
      </c>
      <c r="C63" s="273" t="s">
        <v>259</v>
      </c>
      <c r="D63" s="271" t="s">
        <v>260</v>
      </c>
      <c r="E63" s="166"/>
      <c r="F63" s="253"/>
      <c r="G63" s="243"/>
      <c r="H63" s="181"/>
      <c r="I63" s="182"/>
      <c r="J63" s="187"/>
      <c r="K63" s="243"/>
      <c r="L63" s="243"/>
      <c r="M63" s="184"/>
      <c r="N63" s="165"/>
      <c r="O63" s="165"/>
      <c r="P63" s="253"/>
      <c r="Q63" s="243"/>
      <c r="R63" s="243"/>
      <c r="S63" s="184"/>
      <c r="T63" s="253"/>
      <c r="U63" s="243"/>
      <c r="V63" s="243"/>
      <c r="W63" s="184"/>
      <c r="X63" s="274"/>
      <c r="Y63" s="2"/>
      <c r="Z63" s="270"/>
      <c r="AA63" s="189" t="s">
        <v>206</v>
      </c>
      <c r="AB63" s="2"/>
      <c r="AC63" s="247"/>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3"/>
      <c r="BH63" s="3"/>
      <c r="BI63" s="3"/>
      <c r="BJ63" s="3"/>
      <c r="BK63" s="3"/>
      <c r="BL63" s="3"/>
      <c r="BM63" s="3"/>
      <c r="BN63" s="3"/>
      <c r="BO63" s="3"/>
      <c r="BP63" s="3"/>
      <c r="BQ63" s="3"/>
      <c r="BR63" s="3"/>
      <c r="BS63" s="3"/>
      <c r="BT63" s="3"/>
    </row>
    <row r="64" spans="2:72" s="20" customFormat="1" ht="14">
      <c r="B64" s="272" t="s">
        <v>319</v>
      </c>
      <c r="C64" s="273" t="s">
        <v>261</v>
      </c>
      <c r="D64" s="271" t="s">
        <v>262</v>
      </c>
      <c r="E64" s="166"/>
      <c r="F64" s="253"/>
      <c r="G64" s="243"/>
      <c r="H64" s="181"/>
      <c r="I64" s="182"/>
      <c r="J64" s="187"/>
      <c r="K64" s="243"/>
      <c r="L64" s="243"/>
      <c r="M64" s="184"/>
      <c r="N64" s="165"/>
      <c r="O64" s="165"/>
      <c r="P64" s="253"/>
      <c r="Q64" s="243"/>
      <c r="R64" s="243"/>
      <c r="S64" s="184"/>
      <c r="T64" s="253"/>
      <c r="U64" s="243"/>
      <c r="V64" s="243"/>
      <c r="W64" s="184"/>
      <c r="X64" s="274"/>
      <c r="Y64" s="2"/>
      <c r="Z64" s="270"/>
      <c r="AA64" s="172" t="s">
        <v>185</v>
      </c>
      <c r="AB64" s="2"/>
      <c r="AC64" s="247"/>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3"/>
      <c r="BH64" s="3"/>
      <c r="BI64" s="3"/>
      <c r="BJ64" s="3"/>
      <c r="BK64" s="3"/>
      <c r="BL64" s="3"/>
      <c r="BM64" s="3"/>
      <c r="BN64" s="3"/>
      <c r="BO64" s="3"/>
      <c r="BP64" s="3"/>
      <c r="BQ64" s="3"/>
      <c r="BR64" s="3"/>
      <c r="BS64" s="3"/>
      <c r="BT64" s="3"/>
    </row>
    <row r="65" spans="2:72" s="20" customFormat="1" ht="15" thickBot="1">
      <c r="B65" s="272" t="s">
        <v>238</v>
      </c>
      <c r="C65" s="273" t="s">
        <v>263</v>
      </c>
      <c r="D65" s="271" t="s">
        <v>338</v>
      </c>
      <c r="E65" s="166"/>
      <c r="F65" s="190"/>
      <c r="G65" s="191"/>
      <c r="H65" s="192"/>
      <c r="I65" s="193"/>
      <c r="J65" s="194"/>
      <c r="K65" s="191"/>
      <c r="L65" s="191"/>
      <c r="M65" s="195"/>
      <c r="N65" s="165"/>
      <c r="O65" s="165"/>
      <c r="P65" s="190"/>
      <c r="Q65" s="191"/>
      <c r="R65" s="191"/>
      <c r="S65" s="195"/>
      <c r="T65" s="190"/>
      <c r="U65" s="191"/>
      <c r="V65" s="191"/>
      <c r="W65" s="195"/>
      <c r="X65" s="274"/>
      <c r="Y65" s="2"/>
      <c r="Z65" s="270"/>
      <c r="AA65" s="172" t="s">
        <v>208</v>
      </c>
      <c r="AB65" s="2"/>
      <c r="AC65" s="251"/>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3"/>
      <c r="BH65" s="3"/>
      <c r="BI65" s="3"/>
      <c r="BJ65" s="3"/>
      <c r="BK65" s="3"/>
      <c r="BL65" s="3"/>
      <c r="BM65" s="3"/>
      <c r="BN65" s="3"/>
      <c r="BO65" s="3"/>
      <c r="BP65" s="3"/>
      <c r="BQ65" s="3"/>
      <c r="BR65" s="3"/>
      <c r="BS65" s="3"/>
      <c r="BT65" s="3"/>
    </row>
    <row r="66" spans="2:72" s="20" customFormat="1" ht="14">
      <c r="B66" s="272" t="s">
        <v>241</v>
      </c>
      <c r="C66" s="273" t="s">
        <v>265</v>
      </c>
      <c r="D66" s="271" t="s">
        <v>266</v>
      </c>
      <c r="E66" s="166"/>
      <c r="F66" s="174"/>
      <c r="G66" s="252"/>
      <c r="H66" s="252"/>
      <c r="I66" s="252"/>
      <c r="J66" s="252"/>
      <c r="K66" s="252"/>
      <c r="L66" s="252"/>
      <c r="M66" s="252"/>
      <c r="N66" s="252"/>
      <c r="O66" s="196"/>
      <c r="P66" s="252"/>
      <c r="Q66" s="252"/>
      <c r="R66" s="252"/>
      <c r="S66" s="252"/>
      <c r="T66" s="197"/>
      <c r="U66" s="197"/>
      <c r="V66" s="197"/>
      <c r="W66" s="197"/>
      <c r="X66" s="274"/>
      <c r="Y66" s="2"/>
      <c r="Z66" s="270"/>
      <c r="AA66" s="189" t="s">
        <v>210</v>
      </c>
      <c r="AB66" s="2"/>
      <c r="AC66" s="247"/>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3"/>
      <c r="BH66" s="3"/>
      <c r="BI66" s="3"/>
      <c r="BJ66" s="3"/>
      <c r="BK66" s="3"/>
      <c r="BL66" s="3"/>
      <c r="BM66" s="3"/>
      <c r="BN66" s="3"/>
      <c r="BO66" s="3"/>
      <c r="BP66" s="3"/>
      <c r="BQ66" s="3"/>
      <c r="BR66" s="3"/>
      <c r="BS66" s="3"/>
      <c r="BT66" s="3"/>
    </row>
    <row r="67" spans="2:72" s="20" customFormat="1" ht="15" thickBot="1">
      <c r="B67" s="272"/>
      <c r="C67" s="273" t="s">
        <v>267</v>
      </c>
      <c r="D67" s="271" t="s">
        <v>268</v>
      </c>
      <c r="E67" s="166"/>
      <c r="F67" s="174"/>
      <c r="G67" s="252"/>
      <c r="H67" s="252"/>
      <c r="I67" s="252"/>
      <c r="J67" s="252"/>
      <c r="K67" s="252"/>
      <c r="L67" s="252"/>
      <c r="M67" s="252"/>
      <c r="N67" s="252"/>
      <c r="O67" s="196"/>
      <c r="P67" s="252"/>
      <c r="Q67" s="252"/>
      <c r="R67" s="252"/>
      <c r="S67" s="252"/>
      <c r="T67" s="197"/>
      <c r="U67" s="197"/>
      <c r="V67" s="197"/>
      <c r="W67" s="197"/>
      <c r="X67" s="274"/>
      <c r="Y67" s="2"/>
      <c r="Z67" s="270"/>
      <c r="AA67" s="172" t="s">
        <v>153</v>
      </c>
      <c r="AB67" s="2"/>
      <c r="AC67" s="247"/>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3"/>
      <c r="BH67" s="3"/>
      <c r="BI67" s="3"/>
      <c r="BJ67" s="3"/>
      <c r="BK67" s="3"/>
      <c r="BL67" s="3"/>
      <c r="BM67" s="3"/>
      <c r="BN67" s="3"/>
      <c r="BO67" s="3"/>
      <c r="BP67" s="3"/>
      <c r="BQ67" s="3"/>
      <c r="BR67" s="3"/>
      <c r="BS67" s="3"/>
      <c r="BT67" s="3"/>
    </row>
    <row r="68" spans="2:72" s="20" customFormat="1" ht="14">
      <c r="B68" s="272"/>
      <c r="C68" s="273"/>
      <c r="D68" s="271" t="s">
        <v>434</v>
      </c>
      <c r="E68" s="166"/>
      <c r="F68" s="255" t="s">
        <v>269</v>
      </c>
      <c r="G68" s="370"/>
      <c r="H68" s="371"/>
      <c r="I68" s="371"/>
      <c r="J68" s="371"/>
      <c r="K68" s="371"/>
      <c r="L68" s="371"/>
      <c r="M68" s="372"/>
      <c r="N68" s="165"/>
      <c r="O68" s="165"/>
      <c r="P68" s="255" t="s">
        <v>269</v>
      </c>
      <c r="Q68" s="370"/>
      <c r="R68" s="371"/>
      <c r="S68" s="371"/>
      <c r="T68" s="371"/>
      <c r="U68" s="371"/>
      <c r="V68" s="371"/>
      <c r="W68" s="372"/>
      <c r="X68" s="274"/>
      <c r="Y68" s="2"/>
      <c r="Z68" s="270"/>
      <c r="AA68" s="172" t="s">
        <v>112</v>
      </c>
      <c r="AB68" s="2"/>
      <c r="AC68" s="247"/>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3"/>
      <c r="BH68" s="3"/>
      <c r="BI68" s="3"/>
      <c r="BJ68" s="3"/>
      <c r="BK68" s="3"/>
      <c r="BL68" s="3"/>
      <c r="BM68" s="3"/>
      <c r="BN68" s="3"/>
      <c r="BO68" s="3"/>
      <c r="BP68" s="3"/>
      <c r="BQ68" s="3"/>
      <c r="BR68" s="3"/>
      <c r="BS68" s="3"/>
      <c r="BT68" s="3"/>
    </row>
    <row r="69" spans="2:72" s="20" customFormat="1" ht="14">
      <c r="B69" s="272"/>
      <c r="C69" s="273"/>
      <c r="D69" s="271"/>
      <c r="E69" s="166"/>
      <c r="F69" s="252"/>
      <c r="G69" s="373"/>
      <c r="H69" s="374"/>
      <c r="I69" s="374"/>
      <c r="J69" s="374"/>
      <c r="K69" s="374"/>
      <c r="L69" s="374"/>
      <c r="M69" s="375"/>
      <c r="N69" s="165"/>
      <c r="O69" s="165"/>
      <c r="P69" s="252"/>
      <c r="Q69" s="373"/>
      <c r="R69" s="374"/>
      <c r="S69" s="374"/>
      <c r="T69" s="374"/>
      <c r="U69" s="374"/>
      <c r="V69" s="374"/>
      <c r="W69" s="375"/>
      <c r="X69" s="274"/>
      <c r="Y69" s="2"/>
      <c r="Z69" s="270"/>
      <c r="AA69" s="172" t="s">
        <v>115</v>
      </c>
      <c r="AB69" s="2"/>
      <c r="AC69" s="247"/>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3"/>
      <c r="BH69" s="3"/>
      <c r="BI69" s="3"/>
      <c r="BJ69" s="3"/>
      <c r="BK69" s="3"/>
      <c r="BL69" s="3"/>
      <c r="BM69" s="3"/>
      <c r="BN69" s="3"/>
      <c r="BO69" s="3"/>
      <c r="BP69" s="3"/>
      <c r="BQ69" s="3"/>
      <c r="BR69" s="3"/>
      <c r="BS69" s="3"/>
      <c r="BT69" s="3"/>
    </row>
    <row r="70" spans="2:72" s="20" customFormat="1" ht="14">
      <c r="B70" s="272"/>
      <c r="C70" s="273"/>
      <c r="D70" s="271"/>
      <c r="E70" s="166"/>
      <c r="F70" s="252"/>
      <c r="G70" s="373"/>
      <c r="H70" s="374"/>
      <c r="I70" s="374"/>
      <c r="J70" s="374"/>
      <c r="K70" s="374"/>
      <c r="L70" s="374"/>
      <c r="M70" s="375"/>
      <c r="N70" s="165"/>
      <c r="O70" s="165"/>
      <c r="P70" s="252"/>
      <c r="Q70" s="373"/>
      <c r="R70" s="374"/>
      <c r="S70" s="374"/>
      <c r="T70" s="374"/>
      <c r="U70" s="374"/>
      <c r="V70" s="374"/>
      <c r="W70" s="375"/>
      <c r="X70" s="274"/>
      <c r="Y70" s="2"/>
      <c r="Z70" s="270"/>
      <c r="AA70" s="172" t="s">
        <v>118</v>
      </c>
      <c r="AB70" s="2"/>
      <c r="AC70" s="247"/>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3"/>
      <c r="BH70" s="3"/>
      <c r="BI70" s="3"/>
      <c r="BJ70" s="3"/>
      <c r="BK70" s="3"/>
      <c r="BL70" s="3"/>
      <c r="BM70" s="3"/>
      <c r="BN70" s="3"/>
      <c r="BO70" s="3"/>
      <c r="BP70" s="3"/>
      <c r="BQ70" s="3"/>
      <c r="BR70" s="3"/>
      <c r="BS70" s="3"/>
      <c r="BT70" s="3"/>
    </row>
    <row r="71" spans="2:72" s="20" customFormat="1" ht="15" thickBot="1">
      <c r="B71" s="272"/>
      <c r="C71" s="165"/>
      <c r="D71" s="169"/>
      <c r="E71" s="166"/>
      <c r="F71" s="177"/>
      <c r="G71" s="376"/>
      <c r="H71" s="377"/>
      <c r="I71" s="377"/>
      <c r="J71" s="377"/>
      <c r="K71" s="377"/>
      <c r="L71" s="377"/>
      <c r="M71" s="378"/>
      <c r="N71" s="165"/>
      <c r="O71" s="165"/>
      <c r="P71" s="177"/>
      <c r="Q71" s="376"/>
      <c r="R71" s="377"/>
      <c r="S71" s="377"/>
      <c r="T71" s="377"/>
      <c r="U71" s="377"/>
      <c r="V71" s="377"/>
      <c r="W71" s="378"/>
      <c r="X71" s="169"/>
      <c r="Y71" s="158"/>
      <c r="Z71" s="270"/>
      <c r="AA71" s="172" t="s">
        <v>122</v>
      </c>
      <c r="AB71" s="2"/>
      <c r="AD71" s="2"/>
      <c r="AE71" s="2"/>
      <c r="AF71" s="2"/>
      <c r="AG71" s="158"/>
      <c r="AH71" s="158"/>
      <c r="AI71" s="158"/>
      <c r="AJ71" s="158"/>
      <c r="AK71" s="158"/>
      <c r="AL71" s="18"/>
      <c r="AM71" s="18"/>
      <c r="AN71" s="18"/>
      <c r="AO71" s="18"/>
      <c r="AP71" s="18"/>
      <c r="AQ71" s="18"/>
      <c r="AR71" s="18"/>
      <c r="AS71" s="18"/>
      <c r="AT71" s="18"/>
      <c r="AU71" s="18"/>
      <c r="AV71" s="18"/>
      <c r="AW71" s="18"/>
      <c r="AX71" s="18"/>
      <c r="AY71" s="18"/>
      <c r="AZ71" s="18"/>
      <c r="BA71" s="18"/>
      <c r="BB71" s="18"/>
      <c r="BC71" s="18"/>
      <c r="BD71" s="18"/>
      <c r="BE71" s="18"/>
      <c r="BF71" s="18"/>
      <c r="BG71" s="157"/>
      <c r="BH71" s="157"/>
      <c r="BI71" s="157"/>
      <c r="BJ71" s="157"/>
      <c r="BK71" s="157"/>
      <c r="BL71" s="157"/>
      <c r="BM71" s="157"/>
      <c r="BN71" s="157"/>
      <c r="BO71" s="157"/>
      <c r="BP71" s="157"/>
      <c r="BQ71" s="157"/>
      <c r="BR71" s="157"/>
      <c r="BS71" s="157"/>
      <c r="BT71" s="157"/>
    </row>
    <row r="72" spans="2:72" s="157" customFormat="1" ht="15" thickBot="1">
      <c r="B72" s="198"/>
      <c r="C72" s="199"/>
      <c r="D72" s="200"/>
      <c r="E72" s="198"/>
      <c r="F72" s="201"/>
      <c r="G72" s="201"/>
      <c r="H72" s="201"/>
      <c r="I72" s="201"/>
      <c r="J72" s="201"/>
      <c r="K72" s="201"/>
      <c r="L72" s="201"/>
      <c r="M72" s="201"/>
      <c r="N72" s="201"/>
      <c r="O72" s="199"/>
      <c r="P72" s="201"/>
      <c r="Q72" s="201"/>
      <c r="R72" s="201"/>
      <c r="S72" s="201"/>
      <c r="T72" s="201"/>
      <c r="U72" s="201"/>
      <c r="V72" s="201"/>
      <c r="W72" s="201"/>
      <c r="X72" s="200"/>
      <c r="Y72" s="158"/>
      <c r="Z72" s="270"/>
      <c r="AA72" s="172" t="s">
        <v>270</v>
      </c>
      <c r="AB72" s="158"/>
      <c r="AC72" s="247"/>
      <c r="AD72" s="158"/>
      <c r="AE72" s="158"/>
      <c r="AF72" s="158"/>
      <c r="AG72" s="158"/>
      <c r="AH72" s="158"/>
      <c r="AI72" s="158"/>
      <c r="AJ72" s="158"/>
      <c r="AK72" s="158"/>
      <c r="AL72" s="18"/>
      <c r="AM72" s="18"/>
      <c r="AN72" s="18"/>
      <c r="AO72" s="18"/>
      <c r="AP72" s="18"/>
      <c r="AQ72" s="18"/>
      <c r="AR72" s="18"/>
      <c r="AS72" s="18"/>
      <c r="AT72" s="18"/>
      <c r="AU72" s="18"/>
      <c r="AV72" s="18"/>
      <c r="AW72" s="18"/>
      <c r="AX72" s="18"/>
      <c r="AY72" s="18"/>
      <c r="AZ72" s="18"/>
      <c r="BA72" s="18"/>
      <c r="BB72" s="18"/>
      <c r="BC72" s="18"/>
      <c r="BD72" s="18"/>
      <c r="BE72" s="18"/>
      <c r="BF72" s="18"/>
    </row>
    <row r="73" spans="2:72" s="157" customFormat="1" ht="15">
      <c r="B73" s="158"/>
      <c r="C73" s="158"/>
      <c r="D73" s="158"/>
      <c r="E73" s="158"/>
      <c r="F73" s="202"/>
      <c r="G73" s="202"/>
      <c r="H73" s="103"/>
      <c r="I73" s="103"/>
      <c r="J73" s="103"/>
      <c r="K73" s="103"/>
      <c r="L73" s="103"/>
      <c r="M73" s="103"/>
      <c r="N73" s="103"/>
      <c r="O73" s="203"/>
      <c r="P73" s="103"/>
      <c r="Q73" s="103"/>
      <c r="R73" s="103"/>
      <c r="S73" s="103"/>
      <c r="T73" s="379"/>
      <c r="U73" s="379"/>
      <c r="V73" s="379"/>
      <c r="W73" s="379"/>
      <c r="X73" s="203"/>
      <c r="Y73" s="158"/>
      <c r="Z73" s="270"/>
      <c r="AA73" s="172" t="s">
        <v>159</v>
      </c>
      <c r="AB73" s="158"/>
      <c r="AC73" s="247"/>
      <c r="AD73" s="158"/>
      <c r="AE73" s="158"/>
      <c r="AF73" s="158"/>
      <c r="AG73" s="158"/>
      <c r="AH73" s="158"/>
      <c r="AI73" s="158"/>
      <c r="AJ73" s="158"/>
      <c r="AK73" s="158"/>
      <c r="AL73" s="18"/>
      <c r="AM73" s="18"/>
      <c r="AN73" s="18"/>
      <c r="AO73" s="18"/>
      <c r="AP73" s="18"/>
      <c r="AQ73" s="18"/>
      <c r="AR73" s="18"/>
      <c r="AS73" s="18"/>
      <c r="AT73" s="18"/>
      <c r="AU73" s="18"/>
      <c r="AV73" s="18"/>
      <c r="AW73" s="18"/>
      <c r="AX73" s="18"/>
      <c r="AY73" s="18"/>
      <c r="AZ73" s="18"/>
      <c r="BA73" s="18"/>
      <c r="BB73" s="18"/>
      <c r="BC73" s="18"/>
      <c r="BD73" s="18"/>
      <c r="BE73" s="18"/>
      <c r="BF73" s="18"/>
    </row>
    <row r="74" spans="2:72" s="157" customFormat="1" ht="14">
      <c r="B74" s="158"/>
      <c r="D74" s="158"/>
      <c r="E74" s="158"/>
      <c r="F74" s="158"/>
      <c r="G74" s="158"/>
      <c r="H74" s="158"/>
      <c r="I74" s="158"/>
      <c r="J74" s="158"/>
      <c r="K74" s="158"/>
      <c r="L74" s="158"/>
      <c r="M74" s="158"/>
      <c r="N74" s="158"/>
      <c r="O74" s="158"/>
      <c r="P74" s="158"/>
      <c r="Q74" s="158"/>
      <c r="R74" s="158"/>
      <c r="S74" s="158"/>
      <c r="T74" s="158"/>
      <c r="U74" s="158"/>
      <c r="V74" s="158"/>
      <c r="W74" s="158"/>
      <c r="X74" s="158"/>
      <c r="Y74" s="158"/>
      <c r="Z74" s="270"/>
      <c r="AA74" s="172" t="s">
        <v>182</v>
      </c>
      <c r="AB74" s="158"/>
      <c r="AC74" s="247"/>
      <c r="AD74" s="158"/>
      <c r="AE74" s="158"/>
      <c r="AF74" s="158"/>
      <c r="AG74" s="158"/>
      <c r="AH74" s="158"/>
      <c r="AI74" s="158"/>
      <c r="AJ74" s="158"/>
      <c r="AK74" s="158"/>
      <c r="AL74" s="18"/>
      <c r="AM74" s="18"/>
      <c r="AN74" s="18"/>
      <c r="AO74" s="18"/>
      <c r="AP74" s="18"/>
      <c r="AQ74" s="18"/>
      <c r="AR74" s="18"/>
      <c r="AS74" s="18"/>
      <c r="AT74" s="18"/>
      <c r="AU74" s="18"/>
      <c r="AV74" s="18"/>
      <c r="AW74" s="18"/>
      <c r="AX74" s="18"/>
      <c r="AY74" s="18"/>
      <c r="AZ74" s="18"/>
      <c r="BA74" s="18"/>
      <c r="BB74" s="18"/>
      <c r="BC74" s="18"/>
      <c r="BD74" s="18"/>
      <c r="BE74" s="18"/>
      <c r="BF74" s="18"/>
    </row>
    <row r="75" spans="2:72" s="157" customFormat="1" ht="14">
      <c r="B75" s="158"/>
      <c r="C75" s="158"/>
      <c r="D75" s="158"/>
      <c r="E75" s="158"/>
      <c r="F75" s="365"/>
      <c r="G75" s="365"/>
      <c r="H75" s="365"/>
      <c r="I75" s="365"/>
      <c r="J75" s="365"/>
      <c r="K75" s="365"/>
      <c r="L75" s="365"/>
      <c r="M75" s="365"/>
      <c r="N75" s="365"/>
      <c r="O75" s="365"/>
      <c r="P75" s="365"/>
      <c r="Q75" s="365"/>
      <c r="R75" s="365"/>
      <c r="S75" s="365"/>
      <c r="T75" s="158"/>
      <c r="U75" s="158"/>
      <c r="V75" s="158"/>
      <c r="W75" s="158"/>
      <c r="X75" s="158"/>
      <c r="Y75" s="158"/>
      <c r="Z75" s="270"/>
      <c r="AA75" s="172" t="s">
        <v>174</v>
      </c>
      <c r="AB75" s="158"/>
      <c r="AC75" s="247"/>
      <c r="AD75" s="158"/>
      <c r="AE75" s="158"/>
      <c r="AF75" s="158"/>
      <c r="AG75" s="158"/>
      <c r="AH75" s="158"/>
      <c r="AI75" s="158"/>
      <c r="AJ75" s="158"/>
      <c r="AK75" s="158"/>
      <c r="AL75" s="18"/>
      <c r="AM75" s="18"/>
      <c r="AN75" s="18"/>
      <c r="AO75" s="18"/>
      <c r="AP75" s="18"/>
      <c r="AQ75" s="18"/>
      <c r="AR75" s="18"/>
      <c r="AS75" s="18"/>
      <c r="AT75" s="18"/>
      <c r="AU75" s="18"/>
      <c r="AV75" s="18"/>
      <c r="AW75" s="18"/>
      <c r="AX75" s="18"/>
      <c r="AY75" s="18"/>
      <c r="AZ75" s="18"/>
      <c r="BA75" s="18"/>
      <c r="BB75" s="18"/>
      <c r="BC75" s="18"/>
      <c r="BD75" s="18"/>
      <c r="BE75" s="18"/>
      <c r="BF75" s="18"/>
    </row>
    <row r="76" spans="2:72" s="157" customFormat="1" ht="14">
      <c r="B76" s="158"/>
      <c r="C76" s="158"/>
      <c r="D76" s="158"/>
      <c r="E76" s="158"/>
      <c r="F76" s="158"/>
      <c r="G76" s="158"/>
      <c r="H76" s="158"/>
      <c r="I76" s="158"/>
      <c r="J76" s="158"/>
      <c r="K76" s="158"/>
      <c r="L76" s="158"/>
      <c r="M76" s="158"/>
      <c r="N76" s="158"/>
      <c r="O76" s="158"/>
      <c r="P76" s="158"/>
      <c r="Q76" s="158"/>
      <c r="R76" s="158"/>
      <c r="S76" s="158"/>
      <c r="T76" s="158"/>
      <c r="U76" s="158"/>
      <c r="V76" s="158"/>
      <c r="W76" s="158"/>
      <c r="X76" s="158"/>
      <c r="Y76" s="158"/>
      <c r="Z76" s="270"/>
      <c r="AA76" s="172" t="s">
        <v>186</v>
      </c>
      <c r="AB76" s="158"/>
      <c r="AC76" s="247"/>
      <c r="AD76" s="158"/>
      <c r="AE76" s="158"/>
      <c r="AF76" s="158"/>
      <c r="AG76" s="158"/>
      <c r="AH76" s="158"/>
      <c r="AI76" s="158"/>
      <c r="AJ76" s="158"/>
      <c r="AK76" s="158"/>
      <c r="AL76" s="18"/>
      <c r="AM76" s="18"/>
      <c r="AN76" s="18"/>
      <c r="AO76" s="18"/>
      <c r="AP76" s="18"/>
      <c r="AQ76" s="18"/>
      <c r="AR76" s="18"/>
      <c r="AS76" s="18"/>
      <c r="AT76" s="18"/>
      <c r="AU76" s="18"/>
      <c r="AV76" s="18"/>
      <c r="AW76" s="18"/>
      <c r="AX76" s="18"/>
      <c r="AY76" s="18"/>
      <c r="AZ76" s="18"/>
      <c r="BA76" s="18"/>
      <c r="BB76" s="18"/>
      <c r="BC76" s="18"/>
      <c r="BD76" s="18"/>
      <c r="BE76" s="18"/>
      <c r="BF76" s="18"/>
    </row>
    <row r="77" spans="2:72" s="157" customFormat="1" ht="14">
      <c r="C77" s="158"/>
      <c r="D77" s="158"/>
      <c r="E77" s="158"/>
      <c r="F77" s="158"/>
      <c r="G77" s="158"/>
      <c r="H77" s="158"/>
      <c r="I77" s="158"/>
      <c r="J77" s="158"/>
      <c r="K77" s="158"/>
      <c r="L77" s="158"/>
      <c r="M77" s="158"/>
      <c r="N77" s="158"/>
      <c r="O77" s="158"/>
      <c r="P77" s="158"/>
      <c r="Q77" s="158"/>
      <c r="R77" s="158"/>
      <c r="S77" s="158"/>
      <c r="T77" s="158"/>
      <c r="U77" s="158"/>
      <c r="V77" s="158"/>
      <c r="W77" s="158"/>
      <c r="X77" s="158"/>
      <c r="Y77" s="158"/>
      <c r="Z77" s="270"/>
      <c r="AA77" s="172" t="s">
        <v>155</v>
      </c>
      <c r="AB77" s="158"/>
      <c r="AC77" s="247"/>
      <c r="AD77" s="158"/>
      <c r="AE77" s="158"/>
      <c r="AF77" s="158"/>
      <c r="AG77" s="158"/>
      <c r="AH77" s="158"/>
      <c r="AI77" s="158"/>
      <c r="AJ77" s="158"/>
      <c r="AK77" s="158"/>
      <c r="AL77" s="18"/>
      <c r="AM77" s="18"/>
      <c r="AN77" s="18"/>
      <c r="AO77" s="18"/>
      <c r="AP77" s="18"/>
      <c r="AQ77" s="18"/>
      <c r="AR77" s="18"/>
      <c r="AS77" s="18"/>
      <c r="AT77" s="18"/>
      <c r="AU77" s="18"/>
      <c r="AV77" s="18"/>
      <c r="AW77" s="18"/>
      <c r="AX77" s="18"/>
      <c r="AY77" s="18"/>
      <c r="AZ77" s="18"/>
      <c r="BA77" s="18"/>
      <c r="BB77" s="18"/>
      <c r="BC77" s="18"/>
      <c r="BD77" s="18"/>
      <c r="BE77" s="18"/>
      <c r="BF77" s="18"/>
    </row>
    <row r="78" spans="2:72" s="158" customFormat="1" ht="14">
      <c r="Z78" s="270"/>
      <c r="AA78" s="172" t="s">
        <v>406</v>
      </c>
      <c r="AC78" s="247"/>
      <c r="AL78" s="18"/>
      <c r="AM78" s="18"/>
      <c r="AN78" s="18"/>
      <c r="AO78" s="18"/>
      <c r="AP78" s="18"/>
      <c r="AQ78" s="18"/>
      <c r="AR78" s="18"/>
      <c r="AS78" s="18"/>
      <c r="AT78" s="18"/>
      <c r="AU78" s="18"/>
      <c r="AV78" s="18"/>
      <c r="AW78" s="18"/>
      <c r="AX78" s="18"/>
      <c r="AY78" s="18"/>
      <c r="AZ78" s="18"/>
      <c r="BA78" s="18"/>
      <c r="BB78" s="18"/>
      <c r="BC78" s="18"/>
      <c r="BD78" s="18"/>
      <c r="BE78" s="18"/>
      <c r="BF78" s="18"/>
    </row>
    <row r="79" spans="2:72" s="158" customFormat="1" ht="14">
      <c r="Z79" s="270"/>
      <c r="AA79" s="172" t="s">
        <v>213</v>
      </c>
      <c r="AC79" s="247"/>
      <c r="AL79" s="18"/>
      <c r="AM79" s="18"/>
      <c r="AN79" s="18"/>
      <c r="AO79" s="18"/>
      <c r="AP79" s="18"/>
      <c r="AQ79" s="18"/>
      <c r="AR79" s="18"/>
      <c r="AS79" s="18"/>
      <c r="AT79" s="18"/>
      <c r="AU79" s="18"/>
      <c r="AV79" s="18"/>
      <c r="AW79" s="18"/>
      <c r="AX79" s="18"/>
      <c r="AY79" s="18"/>
      <c r="AZ79" s="18"/>
      <c r="BA79" s="18"/>
      <c r="BB79" s="18"/>
      <c r="BC79" s="18"/>
      <c r="BD79" s="18"/>
      <c r="BE79" s="18"/>
      <c r="BF79" s="18"/>
    </row>
    <row r="80" spans="2:72" s="158" customFormat="1" ht="14">
      <c r="Z80" s="270"/>
      <c r="AA80" s="172" t="s">
        <v>216</v>
      </c>
      <c r="AC80" s="247"/>
      <c r="AL80" s="18"/>
      <c r="AM80" s="18"/>
      <c r="AN80" s="18"/>
      <c r="AO80" s="18"/>
      <c r="AP80" s="18"/>
      <c r="AQ80" s="18"/>
      <c r="AR80" s="18"/>
      <c r="AS80" s="18"/>
      <c r="AT80" s="18"/>
      <c r="AU80" s="18"/>
      <c r="AV80" s="18"/>
      <c r="AW80" s="18"/>
      <c r="AX80" s="18"/>
      <c r="AY80" s="18"/>
      <c r="AZ80" s="18"/>
      <c r="BA80" s="18"/>
      <c r="BB80" s="18"/>
      <c r="BC80" s="18"/>
      <c r="BD80" s="18"/>
      <c r="BE80" s="18"/>
      <c r="BF80" s="18"/>
    </row>
    <row r="81" spans="26:58" s="158" customFormat="1" ht="14">
      <c r="Z81" s="270"/>
      <c r="AA81" s="172" t="s">
        <v>192</v>
      </c>
      <c r="AC81" s="247"/>
      <c r="AL81" s="18"/>
      <c r="AM81" s="18"/>
      <c r="AN81" s="18"/>
      <c r="AO81" s="18"/>
      <c r="AP81" s="18"/>
      <c r="AQ81" s="18"/>
      <c r="AR81" s="18"/>
      <c r="AS81" s="18"/>
      <c r="AT81" s="18"/>
      <c r="AU81" s="18"/>
      <c r="AV81" s="18"/>
      <c r="AW81" s="18"/>
      <c r="AX81" s="18"/>
      <c r="AY81" s="18"/>
      <c r="AZ81" s="18"/>
      <c r="BA81" s="18"/>
      <c r="BB81" s="18"/>
      <c r="BC81" s="18"/>
      <c r="BD81" s="18"/>
      <c r="BE81" s="18"/>
      <c r="BF81" s="18"/>
    </row>
    <row r="82" spans="26:58" s="158" customFormat="1" ht="14">
      <c r="Z82" s="270"/>
      <c r="AA82" s="172" t="s">
        <v>215</v>
      </c>
      <c r="AC82" s="248"/>
      <c r="AL82" s="18"/>
      <c r="AM82" s="18"/>
      <c r="AN82" s="18"/>
      <c r="AO82" s="18"/>
      <c r="AP82" s="18"/>
      <c r="AQ82" s="18"/>
      <c r="AR82" s="18"/>
      <c r="AS82" s="18"/>
      <c r="AT82" s="18"/>
      <c r="AU82" s="18"/>
      <c r="AV82" s="18"/>
      <c r="AW82" s="18"/>
      <c r="AX82" s="18"/>
      <c r="AY82" s="18"/>
      <c r="AZ82" s="18"/>
      <c r="BA82" s="18"/>
      <c r="BB82" s="18"/>
      <c r="BC82" s="18"/>
      <c r="BD82" s="18"/>
      <c r="BE82" s="18"/>
      <c r="BF82" s="18"/>
    </row>
    <row r="83" spans="26:58" s="158" customFormat="1" ht="14">
      <c r="Z83" s="270"/>
      <c r="AA83" s="172" t="s">
        <v>222</v>
      </c>
      <c r="AC83" s="248"/>
      <c r="AL83" s="18"/>
      <c r="AM83" s="18"/>
      <c r="AN83" s="18"/>
      <c r="AO83" s="18"/>
      <c r="AP83" s="18"/>
      <c r="AQ83" s="18"/>
      <c r="AR83" s="18"/>
      <c r="AS83" s="18"/>
      <c r="AT83" s="18"/>
      <c r="AU83" s="18"/>
      <c r="AV83" s="18"/>
      <c r="AW83" s="18"/>
      <c r="AX83" s="18"/>
      <c r="AY83" s="18"/>
      <c r="AZ83" s="18"/>
      <c r="BA83" s="18"/>
      <c r="BB83" s="18"/>
      <c r="BC83" s="18"/>
      <c r="BD83" s="18"/>
      <c r="BE83" s="18"/>
      <c r="BF83" s="18"/>
    </row>
    <row r="84" spans="26:58" s="158" customFormat="1" ht="14">
      <c r="Z84" s="270"/>
      <c r="AA84" s="176" t="s">
        <v>225</v>
      </c>
      <c r="AC84" s="247"/>
      <c r="AL84" s="18"/>
      <c r="AM84" s="18"/>
      <c r="AN84" s="18"/>
      <c r="AO84" s="18"/>
      <c r="AP84" s="18"/>
      <c r="AQ84" s="18"/>
      <c r="AR84" s="18"/>
      <c r="AS84" s="18"/>
      <c r="AT84" s="18"/>
      <c r="AU84" s="18"/>
      <c r="AV84" s="18"/>
      <c r="AW84" s="18"/>
      <c r="AX84" s="18"/>
      <c r="AY84" s="18"/>
      <c r="AZ84" s="18"/>
      <c r="BA84" s="18"/>
      <c r="BB84" s="18"/>
      <c r="BC84" s="18"/>
      <c r="BD84" s="18"/>
      <c r="BE84" s="18"/>
      <c r="BF84" s="18"/>
    </row>
    <row r="85" spans="26:58" s="158" customFormat="1" ht="14">
      <c r="Z85" s="270"/>
      <c r="AA85" s="176" t="s">
        <v>320</v>
      </c>
      <c r="AC85" s="247"/>
      <c r="AL85" s="18"/>
      <c r="AM85" s="18"/>
      <c r="AN85" s="18"/>
      <c r="AO85" s="18"/>
      <c r="AP85" s="18"/>
      <c r="AQ85" s="18"/>
      <c r="AR85" s="18"/>
      <c r="AS85" s="18"/>
      <c r="AT85" s="18"/>
      <c r="AU85" s="18"/>
      <c r="AV85" s="18"/>
      <c r="AW85" s="18"/>
      <c r="AX85" s="18"/>
      <c r="AY85" s="18"/>
      <c r="AZ85" s="18"/>
      <c r="BA85" s="18"/>
      <c r="BB85" s="18"/>
      <c r="BC85" s="18"/>
      <c r="BD85" s="18"/>
      <c r="BE85" s="18"/>
      <c r="BF85" s="18"/>
    </row>
    <row r="86" spans="26:58" s="158" customFormat="1" ht="14">
      <c r="Z86" s="270"/>
      <c r="AA86" s="172" t="s">
        <v>229</v>
      </c>
      <c r="AC86" s="247"/>
      <c r="AL86" s="18"/>
      <c r="AM86" s="18"/>
      <c r="AN86" s="18"/>
      <c r="AO86" s="18"/>
      <c r="AP86" s="18"/>
      <c r="AQ86" s="18"/>
      <c r="AR86" s="18"/>
      <c r="AS86" s="18"/>
      <c r="AT86" s="18"/>
      <c r="AU86" s="18"/>
      <c r="AV86" s="18"/>
      <c r="AW86" s="18"/>
      <c r="AX86" s="18"/>
      <c r="AY86" s="18"/>
      <c r="AZ86" s="18"/>
      <c r="BA86" s="18"/>
      <c r="BB86" s="18"/>
      <c r="BC86" s="18"/>
      <c r="BD86" s="18"/>
      <c r="BE86" s="18"/>
      <c r="BF86" s="18"/>
    </row>
    <row r="87" spans="26:58" s="158" customFormat="1" ht="14">
      <c r="Z87" s="270"/>
      <c r="AA87" s="172" t="s">
        <v>157</v>
      </c>
      <c r="AC87" s="251"/>
      <c r="AL87" s="18"/>
      <c r="AM87" s="18"/>
      <c r="AN87" s="18"/>
      <c r="AO87" s="18"/>
      <c r="AP87" s="18"/>
      <c r="AQ87" s="18"/>
      <c r="AR87" s="18"/>
      <c r="AS87" s="18"/>
      <c r="AT87" s="18"/>
      <c r="AU87" s="18"/>
      <c r="AV87" s="18"/>
      <c r="AW87" s="18"/>
      <c r="AX87" s="18"/>
      <c r="AY87" s="18"/>
      <c r="AZ87" s="18"/>
      <c r="BA87" s="18"/>
      <c r="BB87" s="18"/>
      <c r="BC87" s="18"/>
      <c r="BD87" s="18"/>
      <c r="BE87" s="18"/>
      <c r="BF87" s="18"/>
    </row>
    <row r="88" spans="26:58" s="158" customFormat="1" ht="14">
      <c r="Z88" s="270"/>
      <c r="AA88" s="172" t="s">
        <v>409</v>
      </c>
      <c r="AC88" s="247"/>
      <c r="AL88" s="18"/>
      <c r="AM88" s="18"/>
      <c r="AN88" s="18"/>
      <c r="AO88" s="18"/>
      <c r="AP88" s="18"/>
      <c r="AQ88" s="18"/>
      <c r="AR88" s="18"/>
      <c r="AS88" s="18"/>
      <c r="AT88" s="18"/>
      <c r="AU88" s="18"/>
      <c r="AV88" s="18"/>
      <c r="AW88" s="18"/>
      <c r="AX88" s="18"/>
      <c r="AY88" s="18"/>
      <c r="AZ88" s="18"/>
      <c r="BA88" s="18"/>
      <c r="BB88" s="18"/>
      <c r="BC88" s="18"/>
      <c r="BD88" s="18"/>
      <c r="BE88" s="18"/>
      <c r="BF88" s="18"/>
    </row>
    <row r="89" spans="26:58" s="158" customFormat="1" ht="14">
      <c r="Z89" s="270"/>
      <c r="AA89" s="172" t="s">
        <v>232</v>
      </c>
      <c r="AC89" s="247"/>
      <c r="AL89" s="18"/>
      <c r="AM89" s="18"/>
      <c r="AN89" s="18"/>
      <c r="AO89" s="18"/>
      <c r="AP89" s="18"/>
      <c r="AQ89" s="18"/>
      <c r="AR89" s="18"/>
      <c r="AS89" s="18"/>
      <c r="AT89" s="18"/>
      <c r="AU89" s="18"/>
      <c r="AV89" s="18"/>
      <c r="AW89" s="18"/>
      <c r="AX89" s="18"/>
      <c r="AY89" s="18"/>
      <c r="AZ89" s="18"/>
      <c r="BA89" s="18"/>
      <c r="BB89" s="18"/>
      <c r="BC89" s="18"/>
      <c r="BD89" s="18"/>
      <c r="BE89" s="18"/>
      <c r="BF89" s="18"/>
    </row>
    <row r="90" spans="26:58" s="158" customFormat="1" ht="14">
      <c r="Z90" s="270"/>
      <c r="AA90" s="189" t="s">
        <v>234</v>
      </c>
      <c r="AC90" s="251"/>
      <c r="AL90" s="18"/>
      <c r="AM90" s="18"/>
      <c r="AN90" s="18"/>
      <c r="AO90" s="18"/>
      <c r="AP90" s="18"/>
      <c r="AQ90" s="18"/>
      <c r="AR90" s="18"/>
      <c r="AS90" s="18"/>
      <c r="AT90" s="18"/>
      <c r="AU90" s="18"/>
      <c r="AV90" s="18"/>
      <c r="AW90" s="18"/>
      <c r="AX90" s="18"/>
      <c r="AY90" s="18"/>
      <c r="AZ90" s="18"/>
      <c r="BA90" s="18"/>
      <c r="BB90" s="18"/>
      <c r="BC90" s="18"/>
      <c r="BD90" s="18"/>
      <c r="BE90" s="18"/>
      <c r="BF90" s="18"/>
    </row>
    <row r="91" spans="26:58" s="158" customFormat="1" ht="14">
      <c r="Z91" s="270"/>
      <c r="AA91" s="172" t="s">
        <v>236</v>
      </c>
      <c r="AC91" s="247"/>
      <c r="AL91" s="18"/>
      <c r="AM91" s="18"/>
      <c r="AN91" s="18"/>
      <c r="AO91" s="18"/>
      <c r="AP91" s="18"/>
      <c r="AQ91" s="18"/>
      <c r="AR91" s="18"/>
      <c r="AS91" s="18"/>
      <c r="AT91" s="18"/>
      <c r="AU91" s="18"/>
      <c r="AV91" s="18"/>
      <c r="AW91" s="18"/>
      <c r="AX91" s="18"/>
      <c r="AY91" s="18"/>
      <c r="AZ91" s="18"/>
      <c r="BA91" s="18"/>
      <c r="BB91" s="18"/>
      <c r="BC91" s="18"/>
      <c r="BD91" s="18"/>
      <c r="BE91" s="18"/>
      <c r="BF91" s="18"/>
    </row>
    <row r="92" spans="26:58" s="158" customFormat="1" ht="14">
      <c r="Z92" s="270"/>
      <c r="AA92" s="172" t="s">
        <v>240</v>
      </c>
      <c r="AC92" s="247"/>
      <c r="AL92" s="18"/>
      <c r="AM92" s="18"/>
      <c r="AN92" s="18"/>
      <c r="AO92" s="18"/>
      <c r="AP92" s="18"/>
      <c r="AQ92" s="18"/>
      <c r="AR92" s="18"/>
      <c r="AS92" s="18"/>
      <c r="AT92" s="18"/>
      <c r="AU92" s="18"/>
      <c r="AV92" s="18"/>
      <c r="AW92" s="18"/>
      <c r="AX92" s="18"/>
      <c r="AY92" s="18"/>
      <c r="AZ92" s="18"/>
      <c r="BA92" s="18"/>
      <c r="BB92" s="18"/>
      <c r="BC92" s="18"/>
      <c r="BD92" s="18"/>
      <c r="BE92" s="18"/>
      <c r="BF92" s="18"/>
    </row>
    <row r="93" spans="26:58" s="158" customFormat="1" ht="14">
      <c r="Z93" s="270"/>
      <c r="AA93" s="189" t="s">
        <v>242</v>
      </c>
      <c r="AC93" s="247"/>
      <c r="AL93" s="18"/>
      <c r="AM93" s="18"/>
      <c r="AN93" s="18"/>
      <c r="AO93" s="18"/>
      <c r="AP93" s="18"/>
      <c r="AQ93" s="18"/>
      <c r="AR93" s="18"/>
      <c r="AS93" s="18"/>
      <c r="AT93" s="18"/>
      <c r="AU93" s="18"/>
      <c r="AV93" s="18"/>
      <c r="AW93" s="18"/>
      <c r="AX93" s="18"/>
      <c r="AY93" s="18"/>
      <c r="AZ93" s="18"/>
      <c r="BA93" s="18"/>
      <c r="BB93" s="18"/>
      <c r="BC93" s="18"/>
      <c r="BD93" s="18"/>
      <c r="BE93" s="18"/>
      <c r="BF93" s="18"/>
    </row>
    <row r="94" spans="26:58" s="158" customFormat="1" ht="14">
      <c r="Z94" s="270"/>
      <c r="AA94" s="172" t="s">
        <v>244</v>
      </c>
      <c r="AC94" s="247"/>
      <c r="AL94" s="18"/>
      <c r="AM94" s="18"/>
      <c r="AN94" s="18"/>
      <c r="AO94" s="18"/>
      <c r="AP94" s="18"/>
      <c r="AQ94" s="18"/>
      <c r="AR94" s="18"/>
      <c r="AS94" s="18"/>
      <c r="AT94" s="18"/>
      <c r="AU94" s="18"/>
      <c r="AV94" s="18"/>
      <c r="AW94" s="18"/>
      <c r="AX94" s="18"/>
      <c r="AY94" s="18"/>
      <c r="AZ94" s="18"/>
      <c r="BA94" s="18"/>
      <c r="BB94" s="18"/>
      <c r="BC94" s="18"/>
      <c r="BD94" s="18"/>
      <c r="BE94" s="18"/>
      <c r="BF94" s="18"/>
    </row>
    <row r="95" spans="26:58" s="158" customFormat="1" ht="14">
      <c r="Z95" s="270"/>
      <c r="AA95" s="172" t="s">
        <v>109</v>
      </c>
      <c r="AC95" s="247"/>
      <c r="AL95" s="18"/>
      <c r="AM95" s="18"/>
      <c r="AN95" s="18"/>
      <c r="AO95" s="18"/>
      <c r="AP95" s="18"/>
      <c r="AQ95" s="18"/>
      <c r="AR95" s="18"/>
      <c r="AS95" s="18"/>
      <c r="AT95" s="18"/>
      <c r="AU95" s="18"/>
      <c r="AV95" s="18"/>
      <c r="AW95" s="18"/>
      <c r="AX95" s="18"/>
      <c r="AY95" s="18"/>
      <c r="AZ95" s="18"/>
      <c r="BA95" s="18"/>
      <c r="BB95" s="18"/>
      <c r="BC95" s="18"/>
      <c r="BD95" s="18"/>
      <c r="BE95" s="18"/>
      <c r="BF95" s="18"/>
    </row>
    <row r="96" spans="26:58" s="158" customFormat="1" ht="14">
      <c r="Z96" s="270"/>
      <c r="AA96" s="172" t="s">
        <v>113</v>
      </c>
      <c r="AC96" s="247"/>
      <c r="AL96" s="18"/>
      <c r="AM96" s="18"/>
      <c r="AN96" s="18"/>
      <c r="AO96" s="18"/>
      <c r="AP96" s="18"/>
      <c r="AQ96" s="18"/>
      <c r="AR96" s="18"/>
      <c r="AS96" s="18"/>
      <c r="AT96" s="18"/>
      <c r="AU96" s="18"/>
      <c r="AV96" s="18"/>
      <c r="AW96" s="18"/>
      <c r="AX96" s="18"/>
      <c r="AY96" s="18"/>
      <c r="AZ96" s="18"/>
      <c r="BA96" s="18"/>
      <c r="BB96" s="18"/>
      <c r="BC96" s="18"/>
      <c r="BD96" s="18"/>
      <c r="BE96" s="18"/>
      <c r="BF96" s="18"/>
    </row>
    <row r="97" spans="26:58" s="158" customFormat="1" ht="14">
      <c r="Z97" s="270"/>
      <c r="AA97" s="172" t="s">
        <v>116</v>
      </c>
      <c r="AC97" s="251"/>
      <c r="AL97" s="18"/>
      <c r="AM97" s="18"/>
      <c r="AN97" s="18"/>
      <c r="AO97" s="18"/>
      <c r="AP97" s="18"/>
      <c r="AQ97" s="18"/>
      <c r="AR97" s="18"/>
      <c r="AS97" s="18"/>
      <c r="AT97" s="18"/>
      <c r="AU97" s="18"/>
      <c r="AV97" s="18"/>
      <c r="AW97" s="18"/>
      <c r="AX97" s="18"/>
      <c r="AY97" s="18"/>
      <c r="AZ97" s="18"/>
      <c r="BA97" s="18"/>
      <c r="BB97" s="18"/>
      <c r="BC97" s="18"/>
      <c r="BD97" s="18"/>
      <c r="BE97" s="18"/>
      <c r="BF97" s="18"/>
    </row>
    <row r="98" spans="26:58" s="158" customFormat="1" ht="14">
      <c r="Z98" s="270"/>
      <c r="AA98" s="172" t="s">
        <v>119</v>
      </c>
      <c r="AC98" s="247"/>
      <c r="AL98" s="18"/>
      <c r="AM98" s="18"/>
      <c r="AN98" s="18"/>
      <c r="AO98" s="18"/>
      <c r="AP98" s="18"/>
      <c r="AQ98" s="18"/>
      <c r="AR98" s="18"/>
      <c r="AS98" s="18"/>
      <c r="AT98" s="18"/>
      <c r="AU98" s="18"/>
      <c r="AV98" s="18"/>
      <c r="AW98" s="18"/>
      <c r="AX98" s="18"/>
      <c r="AY98" s="18"/>
      <c r="AZ98" s="18"/>
      <c r="BA98" s="18"/>
      <c r="BB98" s="18"/>
      <c r="BC98" s="18"/>
      <c r="BD98" s="18"/>
      <c r="BE98" s="18"/>
      <c r="BF98" s="18"/>
    </row>
    <row r="99" spans="26:58" s="158" customFormat="1" ht="14">
      <c r="Z99" s="270"/>
      <c r="AA99" s="172" t="s">
        <v>123</v>
      </c>
      <c r="AC99" s="247"/>
      <c r="AL99" s="18"/>
      <c r="AM99" s="18"/>
      <c r="AN99" s="18"/>
      <c r="AO99" s="18"/>
      <c r="AP99" s="18"/>
      <c r="AQ99" s="18"/>
      <c r="AR99" s="18"/>
      <c r="AS99" s="18"/>
      <c r="AT99" s="18"/>
      <c r="AU99" s="18"/>
      <c r="AV99" s="18"/>
      <c r="AW99" s="18"/>
      <c r="AX99" s="18"/>
      <c r="AY99" s="18"/>
      <c r="AZ99" s="18"/>
      <c r="BA99" s="18"/>
      <c r="BB99" s="18"/>
      <c r="BC99" s="18"/>
      <c r="BD99" s="18"/>
      <c r="BE99" s="18"/>
      <c r="BF99" s="18"/>
    </row>
    <row r="100" spans="26:58" s="158" customFormat="1" ht="14">
      <c r="Z100" s="270"/>
      <c r="AA100" s="189" t="s">
        <v>246</v>
      </c>
      <c r="AC100" s="251"/>
      <c r="AL100" s="18"/>
      <c r="AM100" s="18"/>
      <c r="AN100" s="18"/>
      <c r="AO100" s="18"/>
      <c r="AP100" s="18"/>
      <c r="AQ100" s="18"/>
      <c r="AR100" s="18"/>
      <c r="AS100" s="18"/>
      <c r="AT100" s="18"/>
      <c r="AU100" s="18"/>
      <c r="AV100" s="18"/>
      <c r="AW100" s="18"/>
      <c r="AX100" s="18"/>
      <c r="AY100" s="18"/>
      <c r="AZ100" s="18"/>
      <c r="BA100" s="18"/>
      <c r="BB100" s="18"/>
      <c r="BC100" s="18"/>
      <c r="BD100" s="18"/>
      <c r="BE100" s="18"/>
      <c r="BF100" s="18"/>
    </row>
    <row r="101" spans="26:58" s="158" customFormat="1" ht="14">
      <c r="Z101" s="270"/>
      <c r="AA101" s="172" t="s">
        <v>248</v>
      </c>
      <c r="AC101" s="247"/>
      <c r="AL101" s="18"/>
      <c r="AM101" s="18"/>
      <c r="AN101" s="18"/>
      <c r="AO101" s="18"/>
      <c r="AP101" s="18"/>
      <c r="AQ101" s="18"/>
      <c r="AR101" s="18"/>
      <c r="AS101" s="18"/>
      <c r="AT101" s="18"/>
      <c r="AU101" s="18"/>
      <c r="AV101" s="18"/>
      <c r="AW101" s="18"/>
      <c r="AX101" s="18"/>
      <c r="AY101" s="18"/>
      <c r="AZ101" s="18"/>
      <c r="BA101" s="18"/>
      <c r="BB101" s="18"/>
      <c r="BC101" s="18"/>
      <c r="BD101" s="18"/>
      <c r="BE101" s="18"/>
      <c r="BF101" s="18"/>
    </row>
    <row r="102" spans="26:58" s="158" customFormat="1" ht="14">
      <c r="Z102" s="270"/>
      <c r="AA102" s="172" t="s">
        <v>250</v>
      </c>
      <c r="AC102" s="247"/>
      <c r="AL102" s="18"/>
      <c r="AM102" s="18"/>
      <c r="AN102" s="18"/>
      <c r="AO102" s="18"/>
      <c r="AP102" s="18"/>
      <c r="AQ102" s="18"/>
      <c r="AR102" s="18"/>
      <c r="AS102" s="18"/>
      <c r="AT102" s="18"/>
      <c r="AU102" s="18"/>
      <c r="AV102" s="18"/>
      <c r="AW102" s="18"/>
      <c r="AX102" s="18"/>
      <c r="AY102" s="18"/>
      <c r="AZ102" s="18"/>
      <c r="BA102" s="18"/>
      <c r="BB102" s="18"/>
      <c r="BC102" s="18"/>
      <c r="BD102" s="18"/>
      <c r="BE102" s="18"/>
      <c r="BF102" s="18"/>
    </row>
    <row r="103" spans="26:58" s="158" customFormat="1" ht="14">
      <c r="Z103" s="270"/>
      <c r="AA103" s="189" t="s">
        <v>251</v>
      </c>
      <c r="AC103" s="247"/>
      <c r="AL103" s="18"/>
      <c r="AM103" s="18"/>
      <c r="AN103" s="18"/>
      <c r="AO103" s="18"/>
      <c r="AP103" s="18"/>
      <c r="AQ103" s="18"/>
      <c r="AR103" s="18"/>
      <c r="AS103" s="18"/>
      <c r="AT103" s="18"/>
      <c r="AU103" s="18"/>
      <c r="AV103" s="18"/>
      <c r="AW103" s="18"/>
      <c r="AX103" s="18"/>
      <c r="AY103" s="18"/>
      <c r="AZ103" s="18"/>
      <c r="BA103" s="18"/>
      <c r="BB103" s="18"/>
      <c r="BC103" s="18"/>
      <c r="BD103" s="18"/>
      <c r="BE103" s="18"/>
      <c r="BF103" s="18"/>
    </row>
    <row r="104" spans="26:58" s="158" customFormat="1" ht="14">
      <c r="Z104" s="270"/>
      <c r="AA104" s="172" t="s">
        <v>254</v>
      </c>
      <c r="AC104" s="247"/>
      <c r="AL104" s="18"/>
      <c r="AM104" s="18"/>
      <c r="AN104" s="18"/>
      <c r="AO104" s="18"/>
      <c r="AP104" s="18"/>
      <c r="AQ104" s="18"/>
      <c r="AR104" s="18"/>
      <c r="AS104" s="18"/>
      <c r="AT104" s="18"/>
      <c r="AU104" s="18"/>
      <c r="AV104" s="18"/>
      <c r="AW104" s="18"/>
      <c r="AX104" s="18"/>
      <c r="AY104" s="18"/>
      <c r="AZ104" s="18"/>
      <c r="BA104" s="18"/>
      <c r="BB104" s="18"/>
      <c r="BC104" s="18"/>
      <c r="BD104" s="18"/>
      <c r="BE104" s="18"/>
      <c r="BF104" s="18"/>
    </row>
    <row r="105" spans="26:58" s="158" customFormat="1" ht="14">
      <c r="Z105" s="270"/>
      <c r="AA105" s="172" t="s">
        <v>256</v>
      </c>
      <c r="AC105" s="251"/>
      <c r="AL105" s="18"/>
      <c r="AM105" s="18"/>
      <c r="AN105" s="18"/>
      <c r="AO105" s="18"/>
      <c r="AP105" s="18"/>
      <c r="AQ105" s="18"/>
      <c r="AR105" s="18"/>
      <c r="AS105" s="18"/>
      <c r="AT105" s="18"/>
      <c r="AU105" s="18"/>
      <c r="AV105" s="18"/>
      <c r="AW105" s="18"/>
      <c r="AX105" s="18"/>
      <c r="AY105" s="18"/>
      <c r="AZ105" s="18"/>
      <c r="BA105" s="18"/>
      <c r="BB105" s="18"/>
      <c r="BC105" s="18"/>
      <c r="BD105" s="18"/>
      <c r="BE105" s="18"/>
      <c r="BF105" s="18"/>
    </row>
    <row r="106" spans="26:58" s="158" customFormat="1" ht="14">
      <c r="Z106" s="270"/>
      <c r="AA106" s="172" t="s">
        <v>175</v>
      </c>
      <c r="AC106" s="247"/>
      <c r="AL106" s="18"/>
      <c r="AM106" s="18"/>
      <c r="AN106" s="18"/>
      <c r="AO106" s="18"/>
      <c r="AP106" s="18"/>
      <c r="AQ106" s="18"/>
      <c r="AR106" s="18"/>
      <c r="AS106" s="18"/>
      <c r="AT106" s="18"/>
      <c r="AU106" s="18"/>
      <c r="AV106" s="18"/>
      <c r="AW106" s="18"/>
      <c r="AX106" s="18"/>
      <c r="AY106" s="18"/>
      <c r="AZ106" s="18"/>
      <c r="BA106" s="18"/>
      <c r="BB106" s="18"/>
      <c r="BC106" s="18"/>
      <c r="BD106" s="18"/>
      <c r="BE106" s="18"/>
      <c r="BF106" s="18"/>
    </row>
    <row r="107" spans="26:58" s="158" customFormat="1" ht="14">
      <c r="Z107" s="270"/>
      <c r="AA107" s="172" t="s">
        <v>162</v>
      </c>
      <c r="AC107" s="247"/>
      <c r="AL107" s="18"/>
      <c r="AM107" s="18"/>
      <c r="AN107" s="18"/>
      <c r="AO107" s="18"/>
      <c r="AP107" s="18"/>
      <c r="AQ107" s="18"/>
      <c r="AR107" s="18"/>
      <c r="AS107" s="18"/>
      <c r="AT107" s="18"/>
      <c r="AU107" s="18"/>
      <c r="AV107" s="18"/>
      <c r="AW107" s="18"/>
      <c r="AX107" s="18"/>
      <c r="AY107" s="18"/>
      <c r="AZ107" s="18"/>
      <c r="BA107" s="18"/>
      <c r="BB107" s="18"/>
      <c r="BC107" s="18"/>
      <c r="BD107" s="18"/>
      <c r="BE107" s="18"/>
      <c r="BF107" s="18"/>
    </row>
    <row r="108" spans="26:58" s="158" customFormat="1" ht="14">
      <c r="Z108" s="270"/>
      <c r="AA108" s="189" t="s">
        <v>258</v>
      </c>
      <c r="AC108" s="247"/>
      <c r="AL108" s="18"/>
      <c r="AM108" s="18"/>
      <c r="AN108" s="18"/>
      <c r="AO108" s="18"/>
      <c r="AP108" s="18"/>
      <c r="AQ108" s="18"/>
      <c r="AR108" s="18"/>
      <c r="AS108" s="18"/>
      <c r="AT108" s="18"/>
      <c r="AU108" s="18"/>
      <c r="AV108" s="18"/>
      <c r="AW108" s="18"/>
      <c r="AX108" s="18"/>
      <c r="AY108" s="18"/>
      <c r="AZ108" s="18"/>
      <c r="BA108" s="18"/>
      <c r="BB108" s="18"/>
      <c r="BC108" s="18"/>
      <c r="BD108" s="18"/>
      <c r="BE108" s="18"/>
      <c r="BF108" s="18"/>
    </row>
    <row r="109" spans="26:58" s="158" customFormat="1" ht="14">
      <c r="Z109" s="270"/>
      <c r="AA109" s="172" t="s">
        <v>259</v>
      </c>
      <c r="AC109" s="247"/>
      <c r="AL109" s="18"/>
      <c r="AM109" s="18"/>
      <c r="AN109" s="18"/>
      <c r="AO109" s="18"/>
      <c r="AP109" s="18"/>
      <c r="AQ109" s="18"/>
      <c r="AR109" s="18"/>
      <c r="AS109" s="18"/>
      <c r="AT109" s="18"/>
      <c r="AU109" s="18"/>
      <c r="AV109" s="18"/>
      <c r="AW109" s="18"/>
      <c r="AX109" s="18"/>
      <c r="AY109" s="18"/>
      <c r="AZ109" s="18"/>
      <c r="BA109" s="18"/>
      <c r="BB109" s="18"/>
      <c r="BC109" s="18"/>
      <c r="BD109" s="18"/>
      <c r="BE109" s="18"/>
      <c r="BF109" s="18"/>
    </row>
    <row r="110" spans="26:58" s="158" customFormat="1" ht="14">
      <c r="Z110" s="270"/>
      <c r="AA110" s="172" t="s">
        <v>126</v>
      </c>
      <c r="AC110" s="247"/>
      <c r="AL110" s="18"/>
      <c r="AM110" s="18"/>
      <c r="AN110" s="18"/>
      <c r="AO110" s="18"/>
      <c r="AP110" s="18"/>
      <c r="AQ110" s="18"/>
      <c r="AR110" s="18"/>
      <c r="AS110" s="18"/>
      <c r="AT110" s="18"/>
      <c r="AU110" s="18"/>
      <c r="AV110" s="18"/>
      <c r="AW110" s="18"/>
      <c r="AX110" s="18"/>
      <c r="AY110" s="18"/>
      <c r="AZ110" s="18"/>
      <c r="BA110" s="18"/>
      <c r="BB110" s="18"/>
      <c r="BC110" s="18"/>
      <c r="BD110" s="18"/>
      <c r="BE110" s="18"/>
      <c r="BF110" s="18"/>
    </row>
    <row r="111" spans="26:58" s="158" customFormat="1" ht="14">
      <c r="Z111" s="270"/>
      <c r="AA111" s="172" t="s">
        <v>129</v>
      </c>
      <c r="AC111" s="247"/>
      <c r="AL111" s="18"/>
      <c r="AM111" s="18"/>
      <c r="AN111" s="18"/>
      <c r="AO111" s="18"/>
      <c r="AP111" s="18"/>
      <c r="AQ111" s="18"/>
      <c r="AR111" s="18"/>
      <c r="AS111" s="18"/>
      <c r="AT111" s="18"/>
      <c r="AU111" s="18"/>
      <c r="AV111" s="18"/>
      <c r="AW111" s="18"/>
      <c r="AX111" s="18"/>
      <c r="AY111" s="18"/>
      <c r="AZ111" s="18"/>
      <c r="BA111" s="18"/>
      <c r="BB111" s="18"/>
      <c r="BC111" s="18"/>
      <c r="BD111" s="18"/>
      <c r="BE111" s="18"/>
      <c r="BF111" s="18"/>
    </row>
    <row r="112" spans="26:58" s="158" customFormat="1" ht="14">
      <c r="Z112" s="270"/>
      <c r="AA112" s="172" t="s">
        <v>178</v>
      </c>
      <c r="AC112" s="247"/>
      <c r="AL112" s="18"/>
      <c r="AM112" s="18"/>
      <c r="AN112" s="18"/>
      <c r="AO112" s="18"/>
      <c r="AP112" s="18"/>
      <c r="AQ112" s="18"/>
      <c r="AR112" s="18"/>
      <c r="AS112" s="18"/>
      <c r="AT112" s="18"/>
      <c r="AU112" s="18"/>
      <c r="AV112" s="18"/>
      <c r="AW112" s="18"/>
      <c r="AX112" s="18"/>
      <c r="AY112" s="18"/>
      <c r="AZ112" s="18"/>
      <c r="BA112" s="18"/>
      <c r="BB112" s="18"/>
      <c r="BC112" s="18"/>
      <c r="BD112" s="18"/>
      <c r="BE112" s="18"/>
      <c r="BF112" s="18"/>
    </row>
    <row r="113" spans="26:58" s="158" customFormat="1" ht="14">
      <c r="Z113" s="270"/>
      <c r="AA113" s="172" t="s">
        <v>181</v>
      </c>
      <c r="AC113" s="247"/>
      <c r="AL113" s="18"/>
      <c r="AM113" s="18"/>
      <c r="AN113" s="18"/>
      <c r="AO113" s="18"/>
      <c r="AP113" s="18"/>
      <c r="AQ113" s="18"/>
      <c r="AR113" s="18"/>
      <c r="AS113" s="18"/>
      <c r="AT113" s="18"/>
      <c r="AU113" s="18"/>
      <c r="AV113" s="18"/>
      <c r="AW113" s="18"/>
      <c r="AX113" s="18"/>
      <c r="AY113" s="18"/>
      <c r="AZ113" s="18"/>
      <c r="BA113" s="18"/>
      <c r="BB113" s="18"/>
      <c r="BC113" s="18"/>
      <c r="BD113" s="18"/>
      <c r="BE113" s="18"/>
      <c r="BF113" s="18"/>
    </row>
    <row r="114" spans="26:58" s="158" customFormat="1" ht="14">
      <c r="Z114" s="270"/>
      <c r="AA114" s="172" t="s">
        <v>261</v>
      </c>
      <c r="AC114" s="247"/>
      <c r="AL114" s="18"/>
      <c r="AM114" s="18"/>
      <c r="AN114" s="18"/>
      <c r="AO114" s="18"/>
      <c r="AP114" s="18"/>
      <c r="AQ114" s="18"/>
      <c r="AR114" s="18"/>
      <c r="AS114" s="18"/>
      <c r="AT114" s="18"/>
      <c r="AU114" s="18"/>
      <c r="AV114" s="18"/>
      <c r="AW114" s="18"/>
      <c r="AX114" s="18"/>
      <c r="AY114" s="18"/>
      <c r="AZ114" s="18"/>
      <c r="BA114" s="18"/>
      <c r="BB114" s="18"/>
      <c r="BC114" s="18"/>
      <c r="BD114" s="18"/>
      <c r="BE114" s="18"/>
      <c r="BF114" s="18"/>
    </row>
    <row r="115" spans="26:58" s="158" customFormat="1" ht="14">
      <c r="Z115" s="270"/>
      <c r="AA115" s="172" t="s">
        <v>263</v>
      </c>
      <c r="AC115" s="247"/>
      <c r="AL115" s="18"/>
      <c r="AM115" s="18"/>
      <c r="AN115" s="18"/>
      <c r="AO115" s="18"/>
      <c r="AP115" s="18"/>
      <c r="AQ115" s="18"/>
      <c r="AR115" s="18"/>
      <c r="AS115" s="18"/>
      <c r="AT115" s="18"/>
      <c r="AU115" s="18"/>
      <c r="AV115" s="18"/>
      <c r="AW115" s="18"/>
      <c r="AX115" s="18"/>
      <c r="AY115" s="18"/>
      <c r="AZ115" s="18"/>
      <c r="BA115" s="18"/>
      <c r="BB115" s="18"/>
      <c r="BC115" s="18"/>
      <c r="BD115" s="18"/>
      <c r="BE115" s="18"/>
      <c r="BF115" s="18"/>
    </row>
    <row r="116" spans="26:58" s="158" customFormat="1" ht="14">
      <c r="Z116" s="270"/>
      <c r="AA116" s="172" t="s">
        <v>189</v>
      </c>
      <c r="AC116" s="247"/>
      <c r="AL116" s="18"/>
      <c r="AM116" s="18"/>
      <c r="AN116" s="18"/>
      <c r="AO116" s="18"/>
      <c r="AP116" s="18"/>
      <c r="AQ116" s="18"/>
      <c r="AR116" s="18"/>
      <c r="AS116" s="18"/>
      <c r="AT116" s="18"/>
      <c r="AU116" s="18"/>
      <c r="AV116" s="18"/>
      <c r="AW116" s="18"/>
      <c r="AX116" s="18"/>
      <c r="AY116" s="18"/>
      <c r="AZ116" s="18"/>
      <c r="BA116" s="18"/>
      <c r="BB116" s="18"/>
      <c r="BC116" s="18"/>
      <c r="BD116" s="18"/>
      <c r="BE116" s="18"/>
      <c r="BF116" s="18"/>
    </row>
    <row r="117" spans="26:58" s="158" customFormat="1" ht="14">
      <c r="Z117" s="270"/>
      <c r="AA117" s="172" t="s">
        <v>127</v>
      </c>
      <c r="AC117" s="247"/>
      <c r="AL117" s="18"/>
      <c r="AM117" s="18"/>
      <c r="AN117" s="18"/>
      <c r="AO117" s="18"/>
      <c r="AP117" s="18"/>
      <c r="AQ117" s="18"/>
      <c r="AR117" s="18"/>
      <c r="AS117" s="18"/>
      <c r="AT117" s="18"/>
      <c r="AU117" s="18"/>
      <c r="AV117" s="18"/>
      <c r="AW117" s="18"/>
      <c r="AX117" s="18"/>
      <c r="AY117" s="18"/>
      <c r="AZ117" s="18"/>
      <c r="BA117" s="18"/>
      <c r="BB117" s="18"/>
      <c r="BC117" s="18"/>
      <c r="BD117" s="18"/>
      <c r="BE117" s="18"/>
      <c r="BF117" s="18"/>
    </row>
    <row r="118" spans="26:58" s="158" customFormat="1" ht="14">
      <c r="Z118" s="270"/>
      <c r="AA118" s="172" t="s">
        <v>265</v>
      </c>
      <c r="AC118" s="247"/>
      <c r="AL118" s="18"/>
      <c r="AM118" s="18"/>
      <c r="AN118" s="18"/>
      <c r="AO118" s="18"/>
      <c r="AP118" s="18"/>
      <c r="AQ118" s="18"/>
      <c r="AR118" s="18"/>
      <c r="AS118" s="18"/>
      <c r="AT118" s="18"/>
      <c r="AU118" s="18"/>
      <c r="AV118" s="18"/>
      <c r="AW118" s="18"/>
      <c r="AX118" s="18"/>
      <c r="AY118" s="18"/>
      <c r="AZ118" s="18"/>
      <c r="BA118" s="18"/>
      <c r="BB118" s="18"/>
      <c r="BC118" s="18"/>
      <c r="BD118" s="18"/>
      <c r="BE118" s="18"/>
      <c r="BF118" s="18"/>
    </row>
    <row r="119" spans="26:58" s="158" customFormat="1" ht="14">
      <c r="Z119" s="270"/>
      <c r="AA119" s="172" t="s">
        <v>267</v>
      </c>
      <c r="AC119" s="247"/>
      <c r="AL119" s="18"/>
      <c r="AM119" s="18"/>
      <c r="AN119" s="18"/>
      <c r="AO119" s="18"/>
      <c r="AP119" s="18"/>
      <c r="AQ119" s="18"/>
      <c r="AR119" s="18"/>
      <c r="AS119" s="18"/>
      <c r="AT119" s="18"/>
      <c r="AU119" s="18"/>
      <c r="AV119" s="18"/>
      <c r="AW119" s="18"/>
      <c r="AX119" s="18"/>
      <c r="AY119" s="18"/>
      <c r="AZ119" s="18"/>
      <c r="BA119" s="18"/>
      <c r="BB119" s="18"/>
      <c r="BC119" s="18"/>
      <c r="BD119" s="18"/>
      <c r="BE119" s="18"/>
      <c r="BF119" s="18"/>
    </row>
    <row r="120" spans="26:58" s="158" customFormat="1" ht="14">
      <c r="Z120" s="270"/>
      <c r="AA120" s="172" t="s">
        <v>198</v>
      </c>
      <c r="AC120" s="247"/>
      <c r="AL120" s="18"/>
      <c r="AM120" s="18"/>
      <c r="AN120" s="18"/>
      <c r="AO120" s="18"/>
      <c r="AP120" s="18"/>
      <c r="AQ120" s="18"/>
      <c r="AR120" s="18"/>
      <c r="AS120" s="18"/>
      <c r="AT120" s="18"/>
      <c r="AU120" s="18"/>
      <c r="AV120" s="18"/>
      <c r="AW120" s="18"/>
      <c r="AX120" s="18"/>
      <c r="AY120" s="18"/>
      <c r="AZ120" s="18"/>
      <c r="BA120" s="18"/>
      <c r="BB120" s="18"/>
      <c r="BC120" s="18"/>
      <c r="BD120" s="18"/>
      <c r="BE120" s="18"/>
      <c r="BF120" s="18"/>
    </row>
    <row r="121" spans="26:58" s="158" customFormat="1" ht="14">
      <c r="Z121" s="270"/>
      <c r="AA121" s="172" t="s">
        <v>321</v>
      </c>
      <c r="AC121" s="247"/>
      <c r="AL121" s="18"/>
      <c r="AM121" s="18"/>
      <c r="AN121" s="18"/>
      <c r="AO121" s="18"/>
      <c r="AP121" s="18"/>
      <c r="AQ121" s="18"/>
      <c r="AR121" s="18"/>
      <c r="AS121" s="18"/>
      <c r="AT121" s="18"/>
      <c r="AU121" s="18"/>
      <c r="AV121" s="18"/>
      <c r="AW121" s="18"/>
      <c r="AX121" s="18"/>
      <c r="AY121" s="18"/>
      <c r="AZ121" s="18"/>
      <c r="BA121" s="18"/>
      <c r="BB121" s="18"/>
      <c r="BC121" s="18"/>
      <c r="BD121" s="18"/>
      <c r="BE121" s="18"/>
      <c r="BF121" s="18"/>
    </row>
    <row r="122" spans="26:58" s="158" customFormat="1" ht="14">
      <c r="Z122" s="270"/>
      <c r="AA122" s="172" t="s">
        <v>201</v>
      </c>
      <c r="AC122" s="247"/>
      <c r="AL122" s="18"/>
      <c r="AM122" s="18"/>
      <c r="AN122" s="18"/>
      <c r="AO122" s="18"/>
      <c r="AP122" s="18"/>
      <c r="AQ122" s="18"/>
      <c r="AR122" s="18"/>
      <c r="AS122" s="18"/>
      <c r="AT122" s="18"/>
      <c r="AU122" s="18"/>
      <c r="AV122" s="18"/>
      <c r="AW122" s="18"/>
      <c r="AX122" s="18"/>
      <c r="AY122" s="18"/>
      <c r="AZ122" s="18"/>
      <c r="BA122" s="18"/>
      <c r="BB122" s="18"/>
      <c r="BC122" s="18"/>
      <c r="BD122" s="18"/>
      <c r="BE122" s="18"/>
      <c r="BF122" s="18"/>
    </row>
    <row r="123" spans="26:58" s="158" customFormat="1" ht="14">
      <c r="Z123" s="270"/>
      <c r="AA123" s="172" t="s">
        <v>204</v>
      </c>
      <c r="AC123" s="247"/>
      <c r="AL123" s="18"/>
      <c r="AM123" s="18"/>
      <c r="AN123" s="18"/>
      <c r="AO123" s="18"/>
      <c r="AP123" s="18"/>
      <c r="AQ123" s="18"/>
      <c r="AR123" s="18"/>
      <c r="AS123" s="18"/>
      <c r="AT123" s="18"/>
      <c r="AU123" s="18"/>
      <c r="AV123" s="18"/>
      <c r="AW123" s="18"/>
      <c r="AX123" s="18"/>
      <c r="AY123" s="18"/>
      <c r="AZ123" s="18"/>
      <c r="BA123" s="18"/>
      <c r="BB123" s="18"/>
      <c r="BC123" s="18"/>
      <c r="BD123" s="18"/>
      <c r="BE123" s="18"/>
      <c r="BF123" s="18"/>
    </row>
    <row r="124" spans="26:58" s="158" customFormat="1" ht="14">
      <c r="Z124" s="270"/>
      <c r="AA124" s="172" t="s">
        <v>207</v>
      </c>
      <c r="AC124" s="247"/>
      <c r="AL124" s="18"/>
      <c r="AM124" s="18"/>
      <c r="AN124" s="18"/>
      <c r="AO124" s="18"/>
      <c r="AP124" s="18"/>
      <c r="AQ124" s="18"/>
      <c r="AR124" s="18"/>
      <c r="AS124" s="18"/>
      <c r="AT124" s="18"/>
      <c r="AU124" s="18"/>
      <c r="AV124" s="18"/>
      <c r="AW124" s="18"/>
      <c r="AX124" s="18"/>
      <c r="AY124" s="18"/>
      <c r="AZ124" s="18"/>
      <c r="BA124" s="18"/>
      <c r="BB124" s="18"/>
      <c r="BC124" s="18"/>
      <c r="BD124" s="18"/>
      <c r="BE124" s="18"/>
      <c r="BF124" s="18"/>
    </row>
    <row r="125" spans="26:58" s="158" customFormat="1" ht="14">
      <c r="Z125" s="270"/>
      <c r="AA125" s="172" t="s">
        <v>209</v>
      </c>
      <c r="AC125" s="247"/>
      <c r="AL125" s="18"/>
      <c r="AM125" s="18"/>
      <c r="AN125" s="18"/>
      <c r="AO125" s="18"/>
      <c r="AP125" s="18"/>
      <c r="AQ125" s="18"/>
      <c r="AR125" s="18"/>
      <c r="AS125" s="18"/>
      <c r="AT125" s="18"/>
      <c r="AU125" s="18"/>
      <c r="AV125" s="18"/>
      <c r="AW125" s="18"/>
      <c r="AX125" s="18"/>
      <c r="AY125" s="18"/>
      <c r="AZ125" s="18"/>
      <c r="BA125" s="18"/>
      <c r="BB125" s="18"/>
      <c r="BC125" s="18"/>
      <c r="BD125" s="18"/>
      <c r="BE125" s="18"/>
      <c r="BF125" s="18"/>
    </row>
    <row r="126" spans="26:58" s="158" customFormat="1" ht="14">
      <c r="Z126" s="270"/>
      <c r="AA126" s="172" t="s">
        <v>211</v>
      </c>
      <c r="AC126" s="247"/>
      <c r="AL126" s="18"/>
      <c r="AM126" s="18"/>
      <c r="AN126" s="18"/>
      <c r="AO126" s="18"/>
      <c r="AP126" s="18"/>
      <c r="AQ126" s="18"/>
      <c r="AR126" s="18"/>
      <c r="AS126" s="18"/>
      <c r="AT126" s="18"/>
      <c r="AU126" s="18"/>
      <c r="AV126" s="18"/>
      <c r="AW126" s="18"/>
      <c r="AX126" s="18"/>
      <c r="AY126" s="18"/>
      <c r="AZ126" s="18"/>
      <c r="BA126" s="18"/>
      <c r="BB126" s="18"/>
      <c r="BC126" s="18"/>
      <c r="BD126" s="18"/>
      <c r="BE126" s="18"/>
      <c r="BF126" s="18"/>
    </row>
    <row r="127" spans="26:58" s="158" customFormat="1" ht="14">
      <c r="Z127" s="270"/>
      <c r="AA127" s="172" t="s">
        <v>166</v>
      </c>
      <c r="AC127" s="247"/>
      <c r="AL127" s="18"/>
      <c r="AM127" s="18"/>
      <c r="AN127" s="18"/>
      <c r="AO127" s="18"/>
      <c r="AP127" s="18"/>
      <c r="AQ127" s="18"/>
      <c r="AR127" s="18"/>
      <c r="AS127" s="18"/>
      <c r="AT127" s="18"/>
      <c r="AU127" s="18"/>
      <c r="AV127" s="18"/>
      <c r="AW127" s="18"/>
      <c r="AX127" s="18"/>
      <c r="AY127" s="18"/>
      <c r="AZ127" s="18"/>
      <c r="BA127" s="18"/>
      <c r="BB127" s="18"/>
      <c r="BC127" s="18"/>
      <c r="BD127" s="18"/>
      <c r="BE127" s="18"/>
      <c r="BF127" s="18"/>
    </row>
    <row r="128" spans="26:58" s="158" customFormat="1" ht="14">
      <c r="Z128" s="270"/>
      <c r="AA128" s="172" t="s">
        <v>169</v>
      </c>
      <c r="AC128" s="247"/>
      <c r="AL128" s="18"/>
      <c r="AM128" s="18"/>
      <c r="AN128" s="18"/>
      <c r="AO128" s="18"/>
      <c r="AP128" s="18"/>
      <c r="AQ128" s="18"/>
      <c r="AR128" s="18"/>
      <c r="AS128" s="18"/>
      <c r="AT128" s="18"/>
      <c r="AU128" s="18"/>
      <c r="AV128" s="18"/>
      <c r="AW128" s="18"/>
      <c r="AX128" s="18"/>
      <c r="AY128" s="18"/>
      <c r="AZ128" s="18"/>
      <c r="BA128" s="18"/>
      <c r="BB128" s="18"/>
      <c r="BC128" s="18"/>
      <c r="BD128" s="18"/>
      <c r="BE128" s="18"/>
      <c r="BF128" s="18"/>
    </row>
    <row r="129" spans="26:58" s="158" customFormat="1" ht="14">
      <c r="Z129" s="270"/>
      <c r="AA129" s="172" t="s">
        <v>214</v>
      </c>
      <c r="AC129" s="247"/>
      <c r="AL129" s="18"/>
      <c r="AM129" s="18"/>
      <c r="AN129" s="18"/>
      <c r="AO129" s="18"/>
      <c r="AP129" s="18"/>
      <c r="AQ129" s="18"/>
      <c r="AR129" s="18"/>
      <c r="AS129" s="18"/>
      <c r="AT129" s="18"/>
      <c r="AU129" s="18"/>
      <c r="AV129" s="18"/>
      <c r="AW129" s="18"/>
      <c r="AX129" s="18"/>
      <c r="AY129" s="18"/>
      <c r="AZ129" s="18"/>
      <c r="BA129" s="18"/>
      <c r="BB129" s="18"/>
      <c r="BC129" s="18"/>
      <c r="BD129" s="18"/>
      <c r="BE129" s="18"/>
      <c r="BF129" s="18"/>
    </row>
    <row r="130" spans="26:58" s="158" customFormat="1" ht="14">
      <c r="Z130" s="270"/>
      <c r="AA130" s="172" t="s">
        <v>217</v>
      </c>
      <c r="AC130" s="247"/>
      <c r="AL130" s="18"/>
      <c r="AM130" s="18"/>
      <c r="AN130" s="18"/>
      <c r="AO130" s="18"/>
      <c r="AP130" s="18"/>
      <c r="AQ130" s="18"/>
      <c r="AR130" s="18"/>
      <c r="AS130" s="18"/>
      <c r="AT130" s="18"/>
      <c r="AU130" s="18"/>
      <c r="AV130" s="18"/>
      <c r="AW130" s="18"/>
      <c r="AX130" s="18"/>
      <c r="AY130" s="18"/>
      <c r="AZ130" s="18"/>
      <c r="BA130" s="18"/>
      <c r="BB130" s="18"/>
      <c r="BC130" s="18"/>
      <c r="BD130" s="18"/>
      <c r="BE130" s="18"/>
      <c r="BF130" s="18"/>
    </row>
    <row r="131" spans="26:58" s="158" customFormat="1" ht="14">
      <c r="Z131" s="270"/>
      <c r="AA131" s="172" t="s">
        <v>218</v>
      </c>
      <c r="AC131" s="247"/>
      <c r="AL131" s="18"/>
      <c r="AM131" s="18"/>
      <c r="AN131" s="18"/>
      <c r="AO131" s="18"/>
      <c r="AP131" s="18"/>
      <c r="AQ131" s="18"/>
      <c r="AR131" s="18"/>
      <c r="AS131" s="18"/>
      <c r="AT131" s="18"/>
      <c r="AU131" s="18"/>
      <c r="AV131" s="18"/>
      <c r="AW131" s="18"/>
      <c r="AX131" s="18"/>
      <c r="AY131" s="18"/>
      <c r="AZ131" s="18"/>
      <c r="BA131" s="18"/>
      <c r="BB131" s="18"/>
      <c r="BC131" s="18"/>
      <c r="BD131" s="18"/>
      <c r="BE131" s="18"/>
      <c r="BF131" s="18"/>
    </row>
    <row r="132" spans="26:58" s="158" customFormat="1" ht="14">
      <c r="Z132" s="270"/>
      <c r="AA132" s="172" t="s">
        <v>220</v>
      </c>
      <c r="AC132" s="247"/>
      <c r="AL132" s="18"/>
      <c r="AM132" s="18"/>
      <c r="AN132" s="18"/>
      <c r="AO132" s="18"/>
      <c r="AP132" s="18"/>
      <c r="AQ132" s="18"/>
      <c r="AR132" s="18"/>
      <c r="AS132" s="18"/>
      <c r="AT132" s="18"/>
      <c r="AU132" s="18"/>
      <c r="AV132" s="18"/>
      <c r="AW132" s="18"/>
      <c r="AX132" s="18"/>
      <c r="AY132" s="18"/>
      <c r="AZ132" s="18"/>
      <c r="BA132" s="18"/>
      <c r="BB132" s="18"/>
      <c r="BC132" s="18"/>
      <c r="BD132" s="18"/>
      <c r="BE132" s="18"/>
      <c r="BF132" s="18"/>
    </row>
    <row r="133" spans="26:58" s="158" customFormat="1" ht="14">
      <c r="Z133" s="270"/>
      <c r="AA133" s="172" t="s">
        <v>223</v>
      </c>
      <c r="AC133" s="247"/>
      <c r="AL133" s="18"/>
      <c r="AM133" s="18"/>
      <c r="AN133" s="18"/>
      <c r="AO133" s="18"/>
      <c r="AP133" s="18"/>
      <c r="AQ133" s="18"/>
      <c r="AR133" s="18"/>
      <c r="AS133" s="18"/>
      <c r="AT133" s="18"/>
      <c r="AU133" s="18"/>
      <c r="AV133" s="18"/>
      <c r="AW133" s="18"/>
      <c r="AX133" s="18"/>
      <c r="AY133" s="18"/>
      <c r="AZ133" s="18"/>
      <c r="BA133" s="18"/>
      <c r="BB133" s="18"/>
      <c r="BC133" s="18"/>
      <c r="BD133" s="18"/>
      <c r="BE133" s="18"/>
      <c r="BF133" s="18"/>
    </row>
    <row r="134" spans="26:58" s="158" customFormat="1" ht="14">
      <c r="Z134" s="270"/>
      <c r="AA134" s="172" t="s">
        <v>226</v>
      </c>
      <c r="AC134" s="247"/>
      <c r="AL134" s="18"/>
      <c r="AM134" s="18"/>
      <c r="AN134" s="18"/>
      <c r="AO134" s="18"/>
      <c r="AP134" s="18"/>
      <c r="AQ134" s="18"/>
      <c r="AR134" s="18"/>
      <c r="AS134" s="18"/>
      <c r="AT134" s="18"/>
      <c r="AU134" s="18"/>
      <c r="AV134" s="18"/>
      <c r="AW134" s="18"/>
      <c r="AX134" s="18"/>
      <c r="AY134" s="18"/>
      <c r="AZ134" s="18"/>
      <c r="BA134" s="18"/>
      <c r="BB134" s="18"/>
      <c r="BC134" s="18"/>
      <c r="BD134" s="18"/>
      <c r="BE134" s="18"/>
      <c r="BF134" s="18"/>
    </row>
    <row r="135" spans="26:58" s="158" customFormat="1" ht="14">
      <c r="Z135" s="270"/>
      <c r="AA135" s="172" t="s">
        <v>135</v>
      </c>
      <c r="AC135" s="247"/>
      <c r="AL135" s="18"/>
      <c r="AM135" s="18"/>
      <c r="AN135" s="18"/>
      <c r="AO135" s="18"/>
      <c r="AP135" s="18"/>
      <c r="AQ135" s="18"/>
      <c r="AR135" s="18"/>
      <c r="AS135" s="18"/>
      <c r="AT135" s="18"/>
      <c r="AU135" s="18"/>
      <c r="AV135" s="18"/>
      <c r="AW135" s="18"/>
      <c r="AX135" s="18"/>
      <c r="AY135" s="18"/>
      <c r="AZ135" s="18"/>
      <c r="BA135" s="18"/>
      <c r="BB135" s="18"/>
      <c r="BC135" s="18"/>
      <c r="BD135" s="18"/>
      <c r="BE135" s="18"/>
      <c r="BF135" s="18"/>
    </row>
    <row r="136" spans="26:58" s="158" customFormat="1" ht="14">
      <c r="Z136" s="270"/>
      <c r="AA136" s="172" t="s">
        <v>138</v>
      </c>
      <c r="AC136" s="247"/>
      <c r="AL136" s="18"/>
      <c r="AM136" s="18"/>
      <c r="AN136" s="18"/>
      <c r="AO136" s="18"/>
      <c r="AP136" s="18"/>
      <c r="AQ136" s="18"/>
      <c r="AR136" s="18"/>
      <c r="AS136" s="18"/>
      <c r="AT136" s="18"/>
      <c r="AU136" s="18"/>
      <c r="AV136" s="18"/>
      <c r="AW136" s="18"/>
      <c r="AX136" s="18"/>
      <c r="AY136" s="18"/>
      <c r="AZ136" s="18"/>
      <c r="BA136" s="18"/>
      <c r="BB136" s="18"/>
      <c r="BC136" s="18"/>
      <c r="BD136" s="18"/>
      <c r="BE136" s="18"/>
      <c r="BF136" s="18"/>
    </row>
    <row r="137" spans="26:58" s="158" customFormat="1" ht="14">
      <c r="Z137" s="270"/>
      <c r="AA137" s="172" t="s">
        <v>230</v>
      </c>
      <c r="AC137" s="247"/>
      <c r="AL137" s="18"/>
      <c r="AM137" s="18"/>
      <c r="AN137" s="18"/>
      <c r="AO137" s="18"/>
      <c r="AP137" s="18"/>
      <c r="AQ137" s="18"/>
      <c r="AR137" s="18"/>
      <c r="AS137" s="18"/>
      <c r="AT137" s="18"/>
      <c r="AU137" s="18"/>
      <c r="AV137" s="18"/>
      <c r="AW137" s="18"/>
      <c r="AX137" s="18"/>
      <c r="AY137" s="18"/>
      <c r="AZ137" s="18"/>
      <c r="BA137" s="18"/>
      <c r="BB137" s="18"/>
      <c r="BC137" s="18"/>
      <c r="BD137" s="18"/>
      <c r="BE137" s="18"/>
      <c r="BF137" s="18"/>
    </row>
    <row r="138" spans="26:58" s="158" customFormat="1" ht="14">
      <c r="Z138" s="270"/>
      <c r="AA138" s="172" t="s">
        <v>233</v>
      </c>
      <c r="AC138" s="247"/>
      <c r="AL138" s="18"/>
      <c r="AM138" s="18"/>
      <c r="AN138" s="18"/>
      <c r="AO138" s="18"/>
      <c r="AP138" s="18"/>
      <c r="AQ138" s="18"/>
      <c r="AR138" s="18"/>
      <c r="AS138" s="18"/>
      <c r="AT138" s="18"/>
      <c r="AU138" s="18"/>
      <c r="AV138" s="18"/>
      <c r="AW138" s="18"/>
      <c r="AX138" s="18"/>
      <c r="AY138" s="18"/>
      <c r="AZ138" s="18"/>
      <c r="BA138" s="18"/>
      <c r="BB138" s="18"/>
      <c r="BC138" s="18"/>
      <c r="BD138" s="18"/>
      <c r="BE138" s="18"/>
      <c r="BF138" s="18"/>
    </row>
    <row r="139" spans="26:58" s="158" customFormat="1" ht="14">
      <c r="Z139" s="270"/>
      <c r="AA139" s="172" t="s">
        <v>235</v>
      </c>
      <c r="AC139" s="247"/>
      <c r="AL139" s="18"/>
      <c r="AM139" s="18"/>
      <c r="AN139" s="18"/>
      <c r="AO139" s="18"/>
      <c r="AP139" s="18"/>
      <c r="AQ139" s="18"/>
      <c r="AR139" s="18"/>
      <c r="AS139" s="18"/>
      <c r="AT139" s="18"/>
      <c r="AU139" s="18"/>
      <c r="AV139" s="18"/>
      <c r="AW139" s="18"/>
      <c r="AX139" s="18"/>
      <c r="AY139" s="18"/>
      <c r="AZ139" s="18"/>
      <c r="BA139" s="18"/>
      <c r="BB139" s="18"/>
      <c r="BC139" s="18"/>
      <c r="BD139" s="18"/>
      <c r="BE139" s="18"/>
      <c r="BF139" s="18"/>
    </row>
    <row r="140" spans="26:58" s="158" customFormat="1" ht="14">
      <c r="Z140" s="270"/>
      <c r="AA140" s="172" t="s">
        <v>237</v>
      </c>
      <c r="AC140" s="247"/>
      <c r="AL140" s="18"/>
      <c r="AM140" s="18"/>
      <c r="AN140" s="18"/>
      <c r="AO140" s="18"/>
      <c r="AP140" s="18"/>
      <c r="AQ140" s="18"/>
      <c r="AR140" s="18"/>
      <c r="AS140" s="18"/>
      <c r="AT140" s="18"/>
      <c r="AU140" s="18"/>
      <c r="AV140" s="18"/>
      <c r="AW140" s="18"/>
      <c r="AX140" s="18"/>
      <c r="AY140" s="18"/>
      <c r="AZ140" s="18"/>
      <c r="BA140" s="18"/>
      <c r="BB140" s="18"/>
      <c r="BC140" s="18"/>
      <c r="BD140" s="18"/>
      <c r="BE140" s="18"/>
      <c r="BF140" s="18"/>
    </row>
    <row r="141" spans="26:58" s="158" customFormat="1" ht="14">
      <c r="Z141" s="270"/>
      <c r="AA141" s="172" t="s">
        <v>378</v>
      </c>
      <c r="AC141" s="247"/>
      <c r="AL141" s="18"/>
      <c r="AM141" s="18"/>
      <c r="AN141" s="18"/>
      <c r="AO141" s="18"/>
      <c r="AP141" s="18"/>
      <c r="AQ141" s="18"/>
      <c r="AR141" s="18"/>
      <c r="AS141" s="18"/>
      <c r="AT141" s="18"/>
      <c r="AU141" s="18"/>
      <c r="AV141" s="18"/>
      <c r="AW141" s="18"/>
      <c r="AX141" s="18"/>
      <c r="AY141" s="18"/>
      <c r="AZ141" s="18"/>
      <c r="BA141" s="18"/>
      <c r="BB141" s="18"/>
      <c r="BC141" s="18"/>
      <c r="BD141" s="18"/>
      <c r="BE141" s="18"/>
      <c r="BF141" s="18"/>
    </row>
    <row r="142" spans="26:58" s="158" customFormat="1" ht="14">
      <c r="Z142" s="270"/>
      <c r="AA142" s="172" t="s">
        <v>243</v>
      </c>
      <c r="AC142" s="247"/>
      <c r="AL142" s="18"/>
      <c r="AM142" s="18"/>
      <c r="AN142" s="18"/>
      <c r="AO142" s="18"/>
      <c r="AP142" s="18"/>
      <c r="AQ142" s="18"/>
      <c r="AR142" s="18"/>
      <c r="AS142" s="18"/>
      <c r="AT142" s="18"/>
      <c r="AU142" s="18"/>
      <c r="AV142" s="18"/>
      <c r="AW142" s="18"/>
      <c r="AX142" s="18"/>
      <c r="AY142" s="18"/>
      <c r="AZ142" s="18"/>
      <c r="BA142" s="18"/>
      <c r="BB142" s="18"/>
      <c r="BC142" s="18"/>
      <c r="BD142" s="18"/>
      <c r="BE142" s="18"/>
      <c r="BF142" s="18"/>
    </row>
    <row r="143" spans="26:58" s="158" customFormat="1" ht="14">
      <c r="Z143" s="270"/>
      <c r="AA143" s="172" t="s">
        <v>145</v>
      </c>
      <c r="AC143" s="247"/>
      <c r="AL143" s="18"/>
      <c r="AM143" s="18"/>
      <c r="AN143" s="18"/>
      <c r="AO143" s="18"/>
      <c r="AP143" s="18"/>
      <c r="AQ143" s="18"/>
      <c r="AR143" s="18"/>
      <c r="AS143" s="18"/>
      <c r="AT143" s="18"/>
      <c r="AU143" s="18"/>
      <c r="AV143" s="18"/>
      <c r="AW143" s="18"/>
      <c r="AX143" s="18"/>
      <c r="AY143" s="18"/>
      <c r="AZ143" s="18"/>
      <c r="BA143" s="18"/>
      <c r="BB143" s="18"/>
      <c r="BC143" s="18"/>
      <c r="BD143" s="18"/>
      <c r="BE143" s="18"/>
      <c r="BF143" s="18"/>
    </row>
    <row r="144" spans="26:58" s="158" customFormat="1" ht="14">
      <c r="Z144" s="270"/>
      <c r="AA144" s="172" t="s">
        <v>151</v>
      </c>
      <c r="AC144" s="251"/>
      <c r="AL144" s="18"/>
      <c r="AM144" s="18"/>
      <c r="AN144" s="18"/>
      <c r="AO144" s="18"/>
      <c r="AP144" s="18"/>
      <c r="AQ144" s="18"/>
      <c r="AR144" s="18"/>
      <c r="AS144" s="18"/>
      <c r="AT144" s="18"/>
      <c r="AU144" s="18"/>
      <c r="AV144" s="18"/>
      <c r="AW144" s="18"/>
      <c r="AX144" s="18"/>
      <c r="AY144" s="18"/>
      <c r="AZ144" s="18"/>
      <c r="BA144" s="18"/>
      <c r="BB144" s="18"/>
      <c r="BC144" s="18"/>
      <c r="BD144" s="18"/>
      <c r="BE144" s="18"/>
      <c r="BF144" s="18"/>
    </row>
    <row r="145" spans="26:58" s="158" customFormat="1" ht="14">
      <c r="Z145" s="270"/>
      <c r="AA145" s="172" t="s">
        <v>154</v>
      </c>
      <c r="AC145" s="247"/>
      <c r="AL145" s="18"/>
      <c r="AM145" s="18"/>
      <c r="AN145" s="18"/>
      <c r="AO145" s="18"/>
      <c r="AP145" s="18"/>
      <c r="AQ145" s="18"/>
      <c r="AR145" s="18"/>
      <c r="AS145" s="18"/>
      <c r="AT145" s="18"/>
      <c r="AU145" s="18"/>
      <c r="AV145" s="18"/>
      <c r="AW145" s="18"/>
      <c r="AX145" s="18"/>
      <c r="AY145" s="18"/>
      <c r="AZ145" s="18"/>
      <c r="BA145" s="18"/>
      <c r="BB145" s="18"/>
      <c r="BC145" s="18"/>
      <c r="BD145" s="18"/>
      <c r="BE145" s="18"/>
      <c r="BF145" s="18"/>
    </row>
    <row r="146" spans="26:58" s="158" customFormat="1" ht="14">
      <c r="Z146" s="270"/>
      <c r="AA146" s="172" t="s">
        <v>158</v>
      </c>
      <c r="AC146" s="247"/>
      <c r="AL146" s="18"/>
      <c r="AM146" s="18"/>
      <c r="AN146" s="18"/>
      <c r="AO146" s="18"/>
      <c r="AP146" s="18"/>
      <c r="AQ146" s="18"/>
      <c r="AR146" s="18"/>
      <c r="AS146" s="18"/>
      <c r="AT146" s="18"/>
      <c r="AU146" s="18"/>
      <c r="AV146" s="18"/>
      <c r="AW146" s="18"/>
      <c r="AX146" s="18"/>
      <c r="AY146" s="18"/>
      <c r="AZ146" s="18"/>
      <c r="BA146" s="18"/>
      <c r="BB146" s="18"/>
      <c r="BC146" s="18"/>
      <c r="BD146" s="18"/>
      <c r="BE146" s="18"/>
      <c r="BF146" s="18"/>
    </row>
    <row r="147" spans="26:58" s="158" customFormat="1" ht="14">
      <c r="Z147" s="270"/>
      <c r="AA147" s="189" t="s">
        <v>163</v>
      </c>
      <c r="AC147" s="248"/>
      <c r="AL147" s="18"/>
      <c r="AM147" s="18"/>
      <c r="AN147" s="18"/>
      <c r="AO147" s="18"/>
      <c r="AP147" s="18"/>
      <c r="AQ147" s="18"/>
      <c r="AR147" s="18"/>
      <c r="AS147" s="18"/>
      <c r="AT147" s="18"/>
      <c r="AU147" s="18"/>
      <c r="AV147" s="18"/>
      <c r="AW147" s="18"/>
      <c r="AX147" s="18"/>
      <c r="AY147" s="18"/>
      <c r="AZ147" s="18"/>
      <c r="BA147" s="18"/>
      <c r="BB147" s="18"/>
      <c r="BC147" s="18"/>
      <c r="BD147" s="18"/>
      <c r="BE147" s="18"/>
      <c r="BF147" s="18"/>
    </row>
    <row r="148" spans="26:58" s="158" customFormat="1" ht="14">
      <c r="Z148" s="270"/>
      <c r="AA148" s="172" t="s">
        <v>245</v>
      </c>
      <c r="AC148" s="247"/>
      <c r="AL148" s="18"/>
      <c r="AM148" s="18"/>
      <c r="AN148" s="18"/>
      <c r="AO148" s="18"/>
      <c r="AP148" s="18"/>
      <c r="AQ148" s="18"/>
      <c r="AR148" s="18"/>
      <c r="AS148" s="18"/>
      <c r="AT148" s="18"/>
      <c r="AU148" s="18"/>
      <c r="AV148" s="18"/>
      <c r="AW148" s="18"/>
      <c r="AX148" s="18"/>
      <c r="AY148" s="18"/>
      <c r="AZ148" s="18"/>
      <c r="BA148" s="18"/>
      <c r="BB148" s="18"/>
      <c r="BC148" s="18"/>
      <c r="BD148" s="18"/>
      <c r="BE148" s="18"/>
      <c r="BF148" s="18"/>
    </row>
    <row r="149" spans="26:58" s="158" customFormat="1" ht="14">
      <c r="Z149" s="270"/>
      <c r="AA149" s="172" t="s">
        <v>247</v>
      </c>
      <c r="AC149" s="247"/>
      <c r="AL149" s="18"/>
      <c r="AM149" s="18"/>
      <c r="AN149" s="18"/>
      <c r="AO149" s="18"/>
      <c r="AP149" s="18"/>
      <c r="AQ149" s="18"/>
      <c r="AR149" s="18"/>
      <c r="AS149" s="18"/>
      <c r="AT149" s="18"/>
      <c r="AU149" s="18"/>
      <c r="AV149" s="18"/>
      <c r="AW149" s="18"/>
      <c r="AX149" s="18"/>
      <c r="AY149" s="18"/>
      <c r="AZ149" s="18"/>
      <c r="BA149" s="18"/>
      <c r="BB149" s="18"/>
      <c r="BC149" s="18"/>
      <c r="BD149" s="18"/>
      <c r="BE149" s="18"/>
      <c r="BF149" s="18"/>
    </row>
    <row r="150" spans="26:58" s="158" customFormat="1" ht="14">
      <c r="Z150" s="270"/>
      <c r="AA150" s="176" t="s">
        <v>249</v>
      </c>
      <c r="AC150" s="247"/>
      <c r="AL150" s="18"/>
      <c r="AM150" s="18"/>
      <c r="AN150" s="18"/>
      <c r="AO150" s="18"/>
      <c r="AP150" s="18"/>
      <c r="AQ150" s="18"/>
      <c r="AR150" s="18"/>
      <c r="AS150" s="18"/>
      <c r="AT150" s="18"/>
      <c r="AU150" s="18"/>
      <c r="AV150" s="18"/>
      <c r="AW150" s="18"/>
      <c r="AX150" s="18"/>
      <c r="AY150" s="18"/>
      <c r="AZ150" s="18"/>
      <c r="BA150" s="18"/>
      <c r="BB150" s="18"/>
      <c r="BC150" s="18"/>
      <c r="BD150" s="18"/>
      <c r="BE150" s="18"/>
      <c r="BF150" s="18"/>
    </row>
    <row r="151" spans="26:58" s="158" customFormat="1" ht="14">
      <c r="Z151" s="270"/>
      <c r="AA151" s="172" t="s">
        <v>227</v>
      </c>
      <c r="AC151" s="251"/>
      <c r="AL151" s="18"/>
      <c r="AM151" s="18"/>
      <c r="AN151" s="18"/>
      <c r="AO151" s="18"/>
      <c r="AP151" s="18"/>
      <c r="AQ151" s="18"/>
      <c r="AR151" s="18"/>
      <c r="AS151" s="18"/>
      <c r="AT151" s="18"/>
      <c r="AU151" s="18"/>
      <c r="AV151" s="18"/>
      <c r="AW151" s="18"/>
      <c r="AX151" s="18"/>
      <c r="AY151" s="18"/>
      <c r="AZ151" s="18"/>
      <c r="BA151" s="18"/>
      <c r="BB151" s="18"/>
      <c r="BC151" s="18"/>
      <c r="BD151" s="18"/>
      <c r="BE151" s="18"/>
      <c r="BF151" s="18"/>
    </row>
    <row r="152" spans="26:58" s="158" customFormat="1" ht="14">
      <c r="Z152" s="270"/>
      <c r="AA152" s="172" t="s">
        <v>252</v>
      </c>
      <c r="AC152" s="247"/>
      <c r="AL152" s="18"/>
      <c r="AM152" s="18"/>
      <c r="AN152" s="18"/>
      <c r="AO152" s="18"/>
      <c r="AP152" s="18"/>
      <c r="AQ152" s="18"/>
      <c r="AR152" s="18"/>
      <c r="AS152" s="18"/>
      <c r="AT152" s="18"/>
      <c r="AU152" s="18"/>
      <c r="AV152" s="18"/>
      <c r="AW152" s="18"/>
      <c r="AX152" s="18"/>
      <c r="AY152" s="18"/>
      <c r="AZ152" s="18"/>
      <c r="BA152" s="18"/>
      <c r="BB152" s="18"/>
      <c r="BC152" s="18"/>
      <c r="BD152" s="18"/>
      <c r="BE152" s="18"/>
      <c r="BF152" s="18"/>
    </row>
    <row r="153" spans="26:58" s="158" customFormat="1" ht="14">
      <c r="Z153" s="270"/>
      <c r="AA153" s="172" t="s">
        <v>255</v>
      </c>
      <c r="AC153" s="247"/>
      <c r="AL153" s="18"/>
      <c r="AM153" s="18"/>
      <c r="AN153" s="18"/>
      <c r="AO153" s="18"/>
      <c r="AP153" s="18"/>
      <c r="AQ153" s="18"/>
      <c r="AR153" s="18"/>
      <c r="AS153" s="18"/>
      <c r="AT153" s="18"/>
      <c r="AU153" s="18"/>
      <c r="AV153" s="18"/>
      <c r="AW153" s="18"/>
      <c r="AX153" s="18"/>
      <c r="AY153" s="18"/>
      <c r="AZ153" s="18"/>
      <c r="BA153" s="18"/>
      <c r="BB153" s="18"/>
      <c r="BC153" s="18"/>
      <c r="BD153" s="18"/>
      <c r="BE153" s="18"/>
      <c r="BF153" s="18"/>
    </row>
    <row r="154" spans="26:58" s="158" customFormat="1" ht="14">
      <c r="Z154" s="270"/>
      <c r="AA154" s="189" t="s">
        <v>257</v>
      </c>
      <c r="AC154" s="247"/>
      <c r="AL154" s="18"/>
      <c r="AM154" s="18"/>
      <c r="AN154" s="18"/>
      <c r="AO154" s="18"/>
      <c r="AP154" s="18"/>
      <c r="AQ154" s="18"/>
      <c r="AR154" s="18"/>
      <c r="AS154" s="18"/>
      <c r="AT154" s="18"/>
      <c r="AU154" s="18"/>
      <c r="AV154" s="18"/>
      <c r="AW154" s="18"/>
      <c r="AX154" s="18"/>
      <c r="AY154" s="18"/>
      <c r="AZ154" s="18"/>
      <c r="BA154" s="18"/>
      <c r="BB154" s="18"/>
      <c r="BC154" s="18"/>
      <c r="BD154" s="18"/>
      <c r="BE154" s="18"/>
      <c r="BF154" s="18"/>
    </row>
    <row r="155" spans="26:58" s="158" customFormat="1" ht="14">
      <c r="Z155" s="270"/>
      <c r="AA155" s="172" t="s">
        <v>231</v>
      </c>
      <c r="AC155" s="251"/>
      <c r="AL155" s="18"/>
      <c r="AM155" s="18"/>
      <c r="AN155" s="18"/>
      <c r="AO155" s="18"/>
      <c r="AP155" s="18"/>
      <c r="AQ155" s="18"/>
      <c r="AR155" s="18"/>
      <c r="AS155" s="18"/>
      <c r="AT155" s="18"/>
      <c r="AU155" s="18"/>
      <c r="AV155" s="18"/>
      <c r="AW155" s="18"/>
      <c r="AX155" s="18"/>
      <c r="AY155" s="18"/>
      <c r="AZ155" s="18"/>
      <c r="BA155" s="18"/>
      <c r="BB155" s="18"/>
      <c r="BC155" s="18"/>
      <c r="BD155" s="18"/>
      <c r="BE155" s="18"/>
      <c r="BF155" s="18"/>
    </row>
    <row r="156" spans="26:58" s="158" customFormat="1" ht="14">
      <c r="Z156" s="270"/>
      <c r="AA156" s="172" t="s">
        <v>260</v>
      </c>
      <c r="AC156" s="247"/>
      <c r="AL156" s="18"/>
      <c r="AM156" s="18"/>
      <c r="AN156" s="18"/>
      <c r="AO156" s="18"/>
      <c r="AP156" s="18"/>
      <c r="AQ156" s="18"/>
      <c r="AR156" s="18"/>
      <c r="AS156" s="18"/>
      <c r="AT156" s="18"/>
      <c r="AU156" s="18"/>
      <c r="AV156" s="18"/>
      <c r="AW156" s="18"/>
      <c r="AX156" s="18"/>
      <c r="AY156" s="18"/>
      <c r="AZ156" s="18"/>
      <c r="BA156" s="18"/>
      <c r="BB156" s="18"/>
      <c r="BC156" s="18"/>
      <c r="BD156" s="18"/>
      <c r="BE156" s="18"/>
      <c r="BF156" s="18"/>
    </row>
    <row r="157" spans="26:58" s="158" customFormat="1" ht="14">
      <c r="Z157" s="270"/>
      <c r="AA157" s="172" t="s">
        <v>262</v>
      </c>
      <c r="AC157" s="247"/>
      <c r="AL157" s="18"/>
      <c r="AM157" s="18"/>
      <c r="AN157" s="18"/>
      <c r="AO157" s="18"/>
      <c r="AP157" s="18"/>
      <c r="AQ157" s="18"/>
      <c r="AR157" s="18"/>
      <c r="AS157" s="18"/>
      <c r="AT157" s="18"/>
      <c r="AU157" s="18"/>
      <c r="AV157" s="18"/>
      <c r="AW157" s="18"/>
      <c r="AX157" s="18"/>
      <c r="AY157" s="18"/>
      <c r="AZ157" s="18"/>
      <c r="BA157" s="18"/>
      <c r="BB157" s="18"/>
      <c r="BC157" s="18"/>
      <c r="BD157" s="18"/>
      <c r="BE157" s="18"/>
      <c r="BF157" s="18"/>
    </row>
    <row r="158" spans="26:58" s="158" customFormat="1" ht="14">
      <c r="Z158" s="270"/>
      <c r="AA158" s="189" t="s">
        <v>264</v>
      </c>
      <c r="AL158" s="18"/>
      <c r="AM158" s="18"/>
      <c r="AN158" s="18"/>
      <c r="AO158" s="18"/>
      <c r="AP158" s="18"/>
      <c r="AQ158" s="18"/>
      <c r="AR158" s="18"/>
      <c r="AS158" s="18"/>
      <c r="AT158" s="18"/>
      <c r="AU158" s="18"/>
      <c r="AV158" s="18"/>
      <c r="AW158" s="18"/>
      <c r="AX158" s="18"/>
      <c r="AY158" s="18"/>
      <c r="AZ158" s="18"/>
      <c r="BA158" s="18"/>
      <c r="BB158" s="18"/>
      <c r="BC158" s="18"/>
      <c r="BD158" s="18"/>
      <c r="BE158" s="18"/>
      <c r="BF158" s="18"/>
    </row>
    <row r="159" spans="26:58" s="158" customFormat="1" ht="14">
      <c r="Z159" s="270"/>
      <c r="AA159" s="172" t="s">
        <v>266</v>
      </c>
      <c r="AL159" s="18"/>
      <c r="AM159" s="18"/>
      <c r="AN159" s="18"/>
      <c r="AO159" s="18"/>
      <c r="AP159" s="18"/>
      <c r="AQ159" s="18"/>
      <c r="AR159" s="18"/>
      <c r="AS159" s="18"/>
      <c r="AT159" s="18"/>
      <c r="AU159" s="18"/>
      <c r="AV159" s="18"/>
      <c r="AW159" s="18"/>
      <c r="AX159" s="18"/>
      <c r="AY159" s="18"/>
      <c r="AZ159" s="18"/>
      <c r="BA159" s="18"/>
      <c r="BB159" s="18"/>
      <c r="BC159" s="18"/>
      <c r="BD159" s="18"/>
      <c r="BE159" s="18"/>
      <c r="BF159" s="18"/>
    </row>
    <row r="160" spans="26:58" s="158" customFormat="1" ht="14">
      <c r="Z160" s="270"/>
      <c r="AA160" s="172" t="s">
        <v>268</v>
      </c>
      <c r="AL160" s="18"/>
      <c r="AM160" s="18"/>
      <c r="AN160" s="18"/>
      <c r="AO160" s="18"/>
      <c r="AP160" s="18"/>
      <c r="AQ160" s="18"/>
      <c r="AR160" s="18"/>
      <c r="AS160" s="18"/>
      <c r="AT160" s="18"/>
      <c r="AU160" s="18"/>
      <c r="AV160" s="18"/>
      <c r="AW160" s="18"/>
      <c r="AX160" s="18"/>
      <c r="AY160" s="18"/>
      <c r="AZ160" s="18"/>
      <c r="BA160" s="18"/>
      <c r="BB160" s="18"/>
      <c r="BC160" s="18"/>
      <c r="BD160" s="18"/>
      <c r="BE160" s="18"/>
      <c r="BF160" s="18"/>
    </row>
    <row r="161" spans="26:58" s="158" customFormat="1" ht="14">
      <c r="Z161" s="270"/>
      <c r="AA161" s="172" t="s">
        <v>434</v>
      </c>
      <c r="AL161" s="18"/>
      <c r="AM161" s="18"/>
      <c r="AN161" s="18"/>
      <c r="AO161" s="18"/>
      <c r="AP161" s="18"/>
      <c r="AQ161" s="18"/>
      <c r="AR161" s="18"/>
      <c r="AS161" s="18"/>
      <c r="AT161" s="18"/>
      <c r="AU161" s="18"/>
      <c r="AV161" s="18"/>
      <c r="AW161" s="18"/>
      <c r="AX161" s="18"/>
      <c r="AY161" s="18"/>
      <c r="AZ161" s="18"/>
      <c r="BA161" s="18"/>
      <c r="BB161" s="18"/>
      <c r="BC161" s="18"/>
      <c r="BD161" s="18"/>
      <c r="BE161" s="18"/>
      <c r="BF161" s="18"/>
    </row>
    <row r="162" spans="26:58" s="158" customFormat="1">
      <c r="Z162" s="270"/>
      <c r="AA162" s="261"/>
      <c r="AL162" s="18"/>
      <c r="AM162" s="18"/>
      <c r="AN162" s="18"/>
      <c r="AO162" s="18"/>
      <c r="AP162" s="18"/>
      <c r="AQ162" s="18"/>
      <c r="AR162" s="18"/>
      <c r="AS162" s="18"/>
      <c r="AT162" s="18"/>
      <c r="AU162" s="18"/>
      <c r="AV162" s="18"/>
      <c r="AW162" s="18"/>
      <c r="AX162" s="18"/>
      <c r="AY162" s="18"/>
      <c r="AZ162" s="18"/>
      <c r="BA162" s="18"/>
      <c r="BB162" s="18"/>
      <c r="BC162" s="18"/>
      <c r="BD162" s="18"/>
      <c r="BE162" s="18"/>
      <c r="BF162" s="18"/>
    </row>
    <row r="163" spans="26:58" s="158" customFormat="1">
      <c r="Z163" s="270"/>
      <c r="AA163" s="261"/>
      <c r="AL163" s="18"/>
      <c r="AM163" s="18"/>
      <c r="AN163" s="18"/>
      <c r="AO163" s="18"/>
      <c r="AP163" s="18"/>
      <c r="AQ163" s="18"/>
      <c r="AR163" s="18"/>
      <c r="AS163" s="18"/>
      <c r="AT163" s="18"/>
      <c r="AU163" s="18"/>
      <c r="AV163" s="18"/>
      <c r="AW163" s="18"/>
      <c r="AX163" s="18"/>
      <c r="AY163" s="18"/>
      <c r="AZ163" s="18"/>
      <c r="BA163" s="18"/>
      <c r="BB163" s="18"/>
      <c r="BC163" s="18"/>
      <c r="BD163" s="18"/>
      <c r="BE163" s="18"/>
      <c r="BF163" s="18"/>
    </row>
    <row r="164" spans="26:58" s="158" customFormat="1">
      <c r="Z164" s="270"/>
      <c r="AA164" s="261"/>
      <c r="AL164" s="18"/>
      <c r="AM164" s="18"/>
      <c r="AN164" s="18"/>
      <c r="AO164" s="18"/>
      <c r="AP164" s="18"/>
      <c r="AQ164" s="18"/>
      <c r="AR164" s="18"/>
      <c r="AS164" s="18"/>
      <c r="AT164" s="18"/>
      <c r="AU164" s="18"/>
      <c r="AV164" s="18"/>
      <c r="AW164" s="18"/>
      <c r="AX164" s="18"/>
      <c r="AY164" s="18"/>
      <c r="AZ164" s="18"/>
      <c r="BA164" s="18"/>
      <c r="BB164" s="18"/>
      <c r="BC164" s="18"/>
      <c r="BD164" s="18"/>
      <c r="BE164" s="18"/>
      <c r="BF164" s="18"/>
    </row>
    <row r="165" spans="26:58" s="158" customFormat="1">
      <c r="Z165" s="270"/>
      <c r="AA165" s="261"/>
      <c r="AL165" s="18"/>
      <c r="AM165" s="18"/>
      <c r="AN165" s="18"/>
      <c r="AO165" s="18"/>
      <c r="AP165" s="18"/>
      <c r="AQ165" s="18"/>
      <c r="AR165" s="18"/>
      <c r="AS165" s="18"/>
      <c r="AT165" s="18"/>
      <c r="AU165" s="18"/>
      <c r="AV165" s="18"/>
      <c r="AW165" s="18"/>
      <c r="AX165" s="18"/>
      <c r="AY165" s="18"/>
      <c r="AZ165" s="18"/>
      <c r="BA165" s="18"/>
      <c r="BB165" s="18"/>
      <c r="BC165" s="18"/>
      <c r="BD165" s="18"/>
      <c r="BE165" s="18"/>
      <c r="BF165" s="18"/>
    </row>
    <row r="166" spans="26:58" s="158" customFormat="1">
      <c r="Z166" s="270"/>
      <c r="AA166" s="261"/>
      <c r="AL166" s="18"/>
      <c r="AM166" s="18"/>
      <c r="AN166" s="18"/>
      <c r="AO166" s="18"/>
      <c r="AP166" s="18"/>
      <c r="AQ166" s="18"/>
      <c r="AR166" s="18"/>
      <c r="AS166" s="18"/>
      <c r="AT166" s="18"/>
      <c r="AU166" s="18"/>
      <c r="AV166" s="18"/>
      <c r="AW166" s="18"/>
      <c r="AX166" s="18"/>
      <c r="AY166" s="18"/>
      <c r="AZ166" s="18"/>
      <c r="BA166" s="18"/>
      <c r="BB166" s="18"/>
      <c r="BC166" s="18"/>
      <c r="BD166" s="18"/>
      <c r="BE166" s="18"/>
      <c r="BF166" s="18"/>
    </row>
    <row r="167" spans="26:58" s="158" customFormat="1">
      <c r="Z167" s="270"/>
      <c r="AA167" s="261"/>
      <c r="AL167" s="18"/>
      <c r="AM167" s="18"/>
      <c r="AN167" s="18"/>
      <c r="AO167" s="18"/>
      <c r="AP167" s="18"/>
      <c r="AQ167" s="18"/>
      <c r="AR167" s="18"/>
      <c r="AS167" s="18"/>
      <c r="AT167" s="18"/>
      <c r="AU167" s="18"/>
      <c r="AV167" s="18"/>
      <c r="AW167" s="18"/>
      <c r="AX167" s="18"/>
      <c r="AY167" s="18"/>
      <c r="AZ167" s="18"/>
      <c r="BA167" s="18"/>
      <c r="BB167" s="18"/>
      <c r="BC167" s="18"/>
      <c r="BD167" s="18"/>
      <c r="BE167" s="18"/>
      <c r="BF167" s="18"/>
    </row>
    <row r="168" spans="26:58" s="158" customFormat="1">
      <c r="Z168" s="270"/>
      <c r="AA168" s="261"/>
      <c r="AL168" s="18"/>
      <c r="AM168" s="18"/>
      <c r="AN168" s="18"/>
      <c r="AO168" s="18"/>
      <c r="AP168" s="18"/>
      <c r="AQ168" s="18"/>
      <c r="AR168" s="18"/>
      <c r="AS168" s="18"/>
      <c r="AT168" s="18"/>
      <c r="AU168" s="18"/>
      <c r="AV168" s="18"/>
      <c r="AW168" s="18"/>
      <c r="AX168" s="18"/>
      <c r="AY168" s="18"/>
      <c r="AZ168" s="18"/>
      <c r="BA168" s="18"/>
      <c r="BB168" s="18"/>
      <c r="BC168" s="18"/>
      <c r="BD168" s="18"/>
      <c r="BE168" s="18"/>
      <c r="BF168" s="18"/>
    </row>
    <row r="169" spans="26:58" s="158" customFormat="1">
      <c r="Z169" s="270"/>
      <c r="AA169" s="261"/>
      <c r="AL169" s="18"/>
      <c r="AM169" s="18"/>
      <c r="AN169" s="18"/>
      <c r="AO169" s="18"/>
      <c r="AP169" s="18"/>
      <c r="AQ169" s="18"/>
      <c r="AR169" s="18"/>
      <c r="AS169" s="18"/>
      <c r="AT169" s="18"/>
      <c r="AU169" s="18"/>
      <c r="AV169" s="18"/>
      <c r="AW169" s="18"/>
      <c r="AX169" s="18"/>
      <c r="AY169" s="18"/>
      <c r="AZ169" s="18"/>
      <c r="BA169" s="18"/>
      <c r="BB169" s="18"/>
      <c r="BC169" s="18"/>
      <c r="BD169" s="18"/>
      <c r="BE169" s="18"/>
      <c r="BF169" s="18"/>
    </row>
    <row r="170" spans="26:58" s="158" customFormat="1">
      <c r="Z170" s="270"/>
      <c r="AA170" s="261"/>
      <c r="AL170" s="18"/>
      <c r="AM170" s="18"/>
      <c r="AN170" s="18"/>
      <c r="AO170" s="18"/>
      <c r="AP170" s="18"/>
      <c r="AQ170" s="18"/>
      <c r="AR170" s="18"/>
      <c r="AS170" s="18"/>
      <c r="AT170" s="18"/>
      <c r="AU170" s="18"/>
      <c r="AV170" s="18"/>
      <c r="AW170" s="18"/>
      <c r="AX170" s="18"/>
      <c r="AY170" s="18"/>
      <c r="AZ170" s="18"/>
      <c r="BA170" s="18"/>
      <c r="BB170" s="18"/>
      <c r="BC170" s="18"/>
      <c r="BD170" s="18"/>
      <c r="BE170" s="18"/>
      <c r="BF170" s="18"/>
    </row>
    <row r="171" spans="26:58" s="158" customFormat="1">
      <c r="Z171" s="270"/>
      <c r="AA171" s="261"/>
      <c r="AL171" s="18"/>
      <c r="AM171" s="18"/>
      <c r="AN171" s="18"/>
      <c r="AO171" s="18"/>
      <c r="AP171" s="18"/>
      <c r="AQ171" s="18"/>
      <c r="AR171" s="18"/>
      <c r="AS171" s="18"/>
      <c r="AT171" s="18"/>
      <c r="AU171" s="18"/>
      <c r="AV171" s="18"/>
      <c r="AW171" s="18"/>
      <c r="AX171" s="18"/>
      <c r="AY171" s="18"/>
      <c r="AZ171" s="18"/>
      <c r="BA171" s="18"/>
      <c r="BB171" s="18"/>
      <c r="BC171" s="18"/>
      <c r="BD171" s="18"/>
      <c r="BE171" s="18"/>
      <c r="BF171" s="18"/>
    </row>
    <row r="172" spans="26:58" s="158" customFormat="1">
      <c r="Z172" s="270"/>
      <c r="AA172" s="261"/>
      <c r="AL172" s="18"/>
      <c r="AM172" s="18"/>
      <c r="AN172" s="18"/>
      <c r="AO172" s="18"/>
      <c r="AP172" s="18"/>
      <c r="AQ172" s="18"/>
      <c r="AR172" s="18"/>
      <c r="AS172" s="18"/>
      <c r="AT172" s="18"/>
      <c r="AU172" s="18"/>
      <c r="AV172" s="18"/>
      <c r="AW172" s="18"/>
      <c r="AX172" s="18"/>
      <c r="AY172" s="18"/>
      <c r="AZ172" s="18"/>
      <c r="BA172" s="18"/>
      <c r="BB172" s="18"/>
      <c r="BC172" s="18"/>
      <c r="BD172" s="18"/>
      <c r="BE172" s="18"/>
      <c r="BF172" s="18"/>
    </row>
    <row r="173" spans="26:58" s="158" customFormat="1">
      <c r="Z173" s="270"/>
      <c r="AA173" s="261"/>
      <c r="AL173" s="18"/>
      <c r="AM173" s="18"/>
      <c r="AN173" s="18"/>
      <c r="AO173" s="18"/>
      <c r="AP173" s="18"/>
      <c r="AQ173" s="18"/>
      <c r="AR173" s="18"/>
      <c r="AS173" s="18"/>
      <c r="AT173" s="18"/>
      <c r="AU173" s="18"/>
      <c r="AV173" s="18"/>
      <c r="AW173" s="18"/>
      <c r="AX173" s="18"/>
      <c r="AY173" s="18"/>
      <c r="AZ173" s="18"/>
      <c r="BA173" s="18"/>
      <c r="BB173" s="18"/>
      <c r="BC173" s="18"/>
      <c r="BD173" s="18"/>
      <c r="BE173" s="18"/>
      <c r="BF173" s="18"/>
    </row>
    <row r="174" spans="26:58" s="158" customFormat="1">
      <c r="Z174" s="270"/>
      <c r="AA174" s="261"/>
      <c r="AL174" s="18"/>
      <c r="AM174" s="18"/>
      <c r="AN174" s="18"/>
      <c r="AO174" s="18"/>
      <c r="AP174" s="18"/>
      <c r="AQ174" s="18"/>
      <c r="AR174" s="18"/>
      <c r="AS174" s="18"/>
      <c r="AT174" s="18"/>
      <c r="AU174" s="18"/>
      <c r="AV174" s="18"/>
      <c r="AW174" s="18"/>
      <c r="AX174" s="18"/>
      <c r="AY174" s="18"/>
      <c r="AZ174" s="18"/>
      <c r="BA174" s="18"/>
      <c r="BB174" s="18"/>
      <c r="BC174" s="18"/>
      <c r="BD174" s="18"/>
      <c r="BE174" s="18"/>
      <c r="BF174" s="18"/>
    </row>
    <row r="175" spans="26:58" s="158" customFormat="1">
      <c r="Z175" s="270"/>
      <c r="AA175" s="261"/>
      <c r="AL175" s="18"/>
      <c r="AM175" s="18"/>
      <c r="AN175" s="18"/>
      <c r="AO175" s="18"/>
      <c r="AP175" s="18"/>
      <c r="AQ175" s="18"/>
      <c r="AR175" s="18"/>
      <c r="AS175" s="18"/>
      <c r="AT175" s="18"/>
      <c r="AU175" s="18"/>
      <c r="AV175" s="18"/>
      <c r="AW175" s="18"/>
      <c r="AX175" s="18"/>
      <c r="AY175" s="18"/>
      <c r="AZ175" s="18"/>
      <c r="BA175" s="18"/>
      <c r="BB175" s="18"/>
      <c r="BC175" s="18"/>
      <c r="BD175" s="18"/>
      <c r="BE175" s="18"/>
      <c r="BF175" s="18"/>
    </row>
    <row r="176" spans="26:58" s="158" customFormat="1">
      <c r="Z176" s="270"/>
      <c r="AA176" s="261"/>
      <c r="AL176" s="18"/>
      <c r="AM176" s="18"/>
      <c r="AN176" s="18"/>
      <c r="AO176" s="18"/>
      <c r="AP176" s="18"/>
      <c r="AQ176" s="18"/>
      <c r="AR176" s="18"/>
      <c r="AS176" s="18"/>
      <c r="AT176" s="18"/>
      <c r="AU176" s="18"/>
      <c r="AV176" s="18"/>
      <c r="AW176" s="18"/>
      <c r="AX176" s="18"/>
      <c r="AY176" s="18"/>
      <c r="AZ176" s="18"/>
      <c r="BA176" s="18"/>
      <c r="BB176" s="18"/>
      <c r="BC176" s="18"/>
      <c r="BD176" s="18"/>
      <c r="BE176" s="18"/>
      <c r="BF176" s="18"/>
    </row>
    <row r="177" spans="26:58" s="157" customFormat="1">
      <c r="Z177" s="270"/>
      <c r="AA177" s="261"/>
      <c r="AB177" s="158"/>
      <c r="AC177" s="158"/>
      <c r="AD177" s="158"/>
      <c r="AE177" s="158"/>
      <c r="AF177" s="158"/>
      <c r="AG177" s="158"/>
      <c r="AH177" s="158"/>
      <c r="AI177" s="158"/>
      <c r="AJ177" s="158"/>
      <c r="AK177" s="158"/>
      <c r="AL177" s="18"/>
      <c r="AM177" s="18"/>
      <c r="AN177" s="18"/>
      <c r="AO177" s="18"/>
      <c r="AP177" s="18"/>
      <c r="AQ177" s="18"/>
      <c r="AR177" s="18"/>
      <c r="AS177" s="18"/>
      <c r="AT177" s="18"/>
      <c r="AU177" s="18"/>
      <c r="AV177" s="18"/>
      <c r="AW177" s="18"/>
      <c r="AX177" s="18"/>
      <c r="AY177" s="18"/>
      <c r="AZ177" s="18"/>
      <c r="BA177" s="18"/>
      <c r="BB177" s="18"/>
      <c r="BC177" s="18"/>
      <c r="BD177" s="18"/>
      <c r="BE177" s="18"/>
      <c r="BF177" s="18"/>
    </row>
    <row r="178" spans="26:58" s="157" customFormat="1">
      <c r="Z178" s="270"/>
      <c r="AA178" s="261"/>
      <c r="AB178" s="158"/>
      <c r="AC178" s="158"/>
      <c r="AD178" s="158"/>
      <c r="AE178" s="158"/>
      <c r="AF178" s="158"/>
      <c r="AG178" s="158"/>
      <c r="AH178" s="158"/>
      <c r="AI178" s="158"/>
      <c r="AJ178" s="158"/>
      <c r="AK178" s="158"/>
      <c r="AL178" s="18"/>
      <c r="AM178" s="18"/>
      <c r="AN178" s="18"/>
      <c r="AO178" s="18"/>
      <c r="AP178" s="18"/>
      <c r="AQ178" s="18"/>
      <c r="AR178" s="18"/>
      <c r="AS178" s="18"/>
      <c r="AT178" s="18"/>
      <c r="AU178" s="18"/>
      <c r="AV178" s="18"/>
      <c r="AW178" s="18"/>
      <c r="AX178" s="18"/>
      <c r="AY178" s="18"/>
      <c r="AZ178" s="18"/>
      <c r="BA178" s="18"/>
      <c r="BB178" s="18"/>
      <c r="BC178" s="18"/>
      <c r="BD178" s="18"/>
      <c r="BE178" s="18"/>
      <c r="BF178" s="18"/>
    </row>
    <row r="179" spans="26:58" s="157" customFormat="1">
      <c r="Z179" s="270"/>
      <c r="AA179" s="261"/>
      <c r="AB179" s="158"/>
      <c r="AC179" s="158"/>
      <c r="AD179" s="158"/>
      <c r="AE179" s="158"/>
      <c r="AF179" s="158"/>
      <c r="AG179" s="158"/>
      <c r="AH179" s="158"/>
      <c r="AI179" s="158"/>
      <c r="AJ179" s="158"/>
      <c r="AK179" s="158"/>
      <c r="AL179" s="18"/>
      <c r="AM179" s="18"/>
      <c r="AN179" s="18"/>
      <c r="AO179" s="18"/>
      <c r="AP179" s="18"/>
      <c r="AQ179" s="18"/>
      <c r="AR179" s="18"/>
      <c r="AS179" s="18"/>
      <c r="AT179" s="18"/>
      <c r="AU179" s="18"/>
      <c r="AV179" s="18"/>
      <c r="AW179" s="18"/>
      <c r="AX179" s="18"/>
      <c r="AY179" s="18"/>
      <c r="AZ179" s="18"/>
      <c r="BA179" s="18"/>
      <c r="BB179" s="18"/>
      <c r="BC179" s="18"/>
      <c r="BD179" s="18"/>
      <c r="BE179" s="18"/>
      <c r="BF179" s="18"/>
    </row>
    <row r="180" spans="26:58" s="157" customFormat="1">
      <c r="Z180" s="270"/>
      <c r="AA180" s="261"/>
      <c r="AB180" s="158"/>
      <c r="AC180" s="158"/>
      <c r="AD180" s="158"/>
      <c r="AE180" s="158"/>
      <c r="AF180" s="158"/>
      <c r="AG180" s="158"/>
      <c r="AH180" s="158"/>
      <c r="AI180" s="158"/>
      <c r="AJ180" s="158"/>
      <c r="AK180" s="158"/>
      <c r="AL180" s="18"/>
      <c r="AM180" s="18"/>
      <c r="AN180" s="18"/>
      <c r="AO180" s="18"/>
      <c r="AP180" s="18"/>
      <c r="AQ180" s="18"/>
      <c r="AR180" s="18"/>
      <c r="AS180" s="18"/>
      <c r="AT180" s="18"/>
      <c r="AU180" s="18"/>
      <c r="AV180" s="18"/>
      <c r="AW180" s="18"/>
      <c r="AX180" s="18"/>
      <c r="AY180" s="18"/>
      <c r="AZ180" s="18"/>
      <c r="BA180" s="18"/>
      <c r="BB180" s="18"/>
      <c r="BC180" s="18"/>
      <c r="BD180" s="18"/>
      <c r="BE180" s="18"/>
      <c r="BF180" s="18"/>
    </row>
    <row r="181" spans="26:58" s="157" customFormat="1">
      <c r="Z181" s="270"/>
      <c r="AA181" s="261"/>
      <c r="AB181" s="158"/>
      <c r="AC181" s="158"/>
      <c r="AD181" s="158"/>
      <c r="AE181" s="158"/>
      <c r="AF181" s="158"/>
      <c r="AG181" s="158"/>
      <c r="AH181" s="158"/>
      <c r="AI181" s="158"/>
      <c r="AJ181" s="158"/>
      <c r="AK181" s="158"/>
      <c r="AL181" s="18"/>
      <c r="AM181" s="18"/>
      <c r="AN181" s="18"/>
      <c r="AO181" s="18"/>
      <c r="AP181" s="18"/>
      <c r="AQ181" s="18"/>
      <c r="AR181" s="18"/>
      <c r="AS181" s="18"/>
      <c r="AT181" s="18"/>
      <c r="AU181" s="18"/>
      <c r="AV181" s="18"/>
      <c r="AW181" s="18"/>
      <c r="AX181" s="18"/>
      <c r="AY181" s="18"/>
      <c r="AZ181" s="18"/>
      <c r="BA181" s="18"/>
      <c r="BB181" s="18"/>
      <c r="BC181" s="18"/>
      <c r="BD181" s="18"/>
      <c r="BE181" s="18"/>
      <c r="BF181" s="18"/>
    </row>
    <row r="182" spans="26:58" s="157" customFormat="1">
      <c r="Z182" s="270"/>
      <c r="AA182" s="261"/>
      <c r="AB182" s="158"/>
      <c r="AC182" s="158"/>
      <c r="AD182" s="158"/>
      <c r="AE182" s="158"/>
      <c r="AF182" s="158"/>
      <c r="AG182" s="158"/>
      <c r="AH182" s="158"/>
      <c r="AI182" s="158"/>
      <c r="AJ182" s="158"/>
      <c r="AK182" s="158"/>
      <c r="AL182" s="18"/>
      <c r="AM182" s="18"/>
      <c r="AN182" s="18"/>
      <c r="AO182" s="18"/>
      <c r="AP182" s="18"/>
      <c r="AQ182" s="18"/>
      <c r="AR182" s="18"/>
      <c r="AS182" s="18"/>
      <c r="AT182" s="18"/>
      <c r="AU182" s="18"/>
      <c r="AV182" s="18"/>
      <c r="AW182" s="18"/>
      <c r="AX182" s="18"/>
      <c r="AY182" s="18"/>
      <c r="AZ182" s="18"/>
      <c r="BA182" s="18"/>
      <c r="BB182" s="18"/>
      <c r="BC182" s="18"/>
      <c r="BD182" s="18"/>
      <c r="BE182" s="18"/>
      <c r="BF182" s="18"/>
    </row>
    <row r="183" spans="26:58" s="157" customFormat="1">
      <c r="Z183" s="270"/>
      <c r="AA183" s="261"/>
      <c r="AB183" s="158"/>
      <c r="AC183" s="158"/>
      <c r="AD183" s="158"/>
      <c r="AE183" s="158"/>
      <c r="AF183" s="158"/>
      <c r="AG183" s="158"/>
      <c r="AH183" s="158"/>
      <c r="AI183" s="158"/>
      <c r="AJ183" s="158"/>
      <c r="AK183" s="158"/>
      <c r="AL183" s="18"/>
      <c r="AM183" s="18"/>
      <c r="AN183" s="18"/>
      <c r="AO183" s="18"/>
      <c r="AP183" s="18"/>
      <c r="AQ183" s="18"/>
      <c r="AR183" s="18"/>
      <c r="AS183" s="18"/>
      <c r="AT183" s="18"/>
      <c r="AU183" s="18"/>
      <c r="AV183" s="18"/>
      <c r="AW183" s="18"/>
      <c r="AX183" s="18"/>
      <c r="AY183" s="18"/>
      <c r="AZ183" s="18"/>
      <c r="BA183" s="18"/>
      <c r="BB183" s="18"/>
      <c r="BC183" s="18"/>
      <c r="BD183" s="18"/>
      <c r="BE183" s="18"/>
      <c r="BF183" s="18"/>
    </row>
    <row r="184" spans="26:58" s="157" customFormat="1">
      <c r="Z184" s="270"/>
      <c r="AA184" s="261"/>
      <c r="AB184" s="158"/>
      <c r="AC184" s="158"/>
      <c r="AD184" s="158"/>
      <c r="AE184" s="158"/>
      <c r="AF184" s="158"/>
      <c r="AG184" s="158"/>
      <c r="AH184" s="158"/>
      <c r="AI184" s="158"/>
      <c r="AJ184" s="158"/>
      <c r="AK184" s="158"/>
      <c r="AL184" s="18"/>
      <c r="AM184" s="18"/>
      <c r="AN184" s="18"/>
      <c r="AO184" s="18"/>
      <c r="AP184" s="18"/>
      <c r="AQ184" s="18"/>
      <c r="AR184" s="18"/>
      <c r="AS184" s="18"/>
      <c r="AT184" s="18"/>
      <c r="AU184" s="18"/>
      <c r="AV184" s="18"/>
      <c r="AW184" s="18"/>
      <c r="AX184" s="18"/>
      <c r="AY184" s="18"/>
      <c r="AZ184" s="18"/>
      <c r="BA184" s="18"/>
      <c r="BB184" s="18"/>
      <c r="BC184" s="18"/>
      <c r="BD184" s="18"/>
      <c r="BE184" s="18"/>
      <c r="BF184" s="18"/>
    </row>
    <row r="185" spans="26:58" s="157" customFormat="1">
      <c r="Z185" s="270"/>
      <c r="AA185" s="261"/>
      <c r="AB185" s="158"/>
      <c r="AC185" s="158"/>
      <c r="AD185" s="158"/>
      <c r="AE185" s="158"/>
      <c r="AF185" s="158"/>
      <c r="AG185" s="158"/>
      <c r="AH185" s="158"/>
      <c r="AI185" s="158"/>
      <c r="AJ185" s="158"/>
      <c r="AK185" s="158"/>
      <c r="AL185" s="18"/>
      <c r="AM185" s="18"/>
      <c r="AN185" s="18"/>
      <c r="AO185" s="18"/>
      <c r="AP185" s="18"/>
      <c r="AQ185" s="18"/>
      <c r="AR185" s="18"/>
      <c r="AS185" s="18"/>
      <c r="AT185" s="18"/>
      <c r="AU185" s="18"/>
      <c r="AV185" s="18"/>
      <c r="AW185" s="18"/>
      <c r="AX185" s="18"/>
      <c r="AY185" s="18"/>
      <c r="AZ185" s="18"/>
      <c r="BA185" s="18"/>
      <c r="BB185" s="18"/>
      <c r="BC185" s="18"/>
      <c r="BD185" s="18"/>
      <c r="BE185" s="18"/>
      <c r="BF185" s="18"/>
    </row>
    <row r="186" spans="26:58" s="157" customFormat="1">
      <c r="Z186" s="270"/>
      <c r="AA186" s="261"/>
      <c r="AB186" s="158"/>
      <c r="AC186" s="158"/>
      <c r="AD186" s="158"/>
      <c r="AE186" s="158"/>
      <c r="AF186" s="158"/>
      <c r="AG186" s="158"/>
      <c r="AH186" s="158"/>
      <c r="AI186" s="158"/>
      <c r="AJ186" s="158"/>
      <c r="AK186" s="158"/>
      <c r="AL186" s="18"/>
      <c r="AM186" s="18"/>
      <c r="AN186" s="18"/>
      <c r="AO186" s="18"/>
      <c r="AP186" s="18"/>
      <c r="AQ186" s="18"/>
      <c r="AR186" s="18"/>
      <c r="AS186" s="18"/>
      <c r="AT186" s="18"/>
      <c r="AU186" s="18"/>
      <c r="AV186" s="18"/>
      <c r="AW186" s="18"/>
      <c r="AX186" s="18"/>
      <c r="AY186" s="18"/>
      <c r="AZ186" s="18"/>
      <c r="BA186" s="18"/>
      <c r="BB186" s="18"/>
      <c r="BC186" s="18"/>
      <c r="BD186" s="18"/>
      <c r="BE186" s="18"/>
      <c r="BF186" s="18"/>
    </row>
    <row r="187" spans="26:58" s="157" customFormat="1">
      <c r="Z187" s="270"/>
      <c r="AA187" s="261"/>
      <c r="AB187" s="158"/>
      <c r="AC187" s="158"/>
      <c r="AD187" s="158"/>
      <c r="AE187" s="158"/>
      <c r="AF187" s="158"/>
      <c r="AG187" s="158"/>
      <c r="AH187" s="158"/>
      <c r="AI187" s="158"/>
      <c r="AJ187" s="158"/>
      <c r="AK187" s="158"/>
      <c r="AL187" s="18"/>
      <c r="AM187" s="18"/>
      <c r="AN187" s="18"/>
      <c r="AO187" s="18"/>
      <c r="AP187" s="18"/>
      <c r="AQ187" s="18"/>
      <c r="AR187" s="18"/>
      <c r="AS187" s="18"/>
      <c r="AT187" s="18"/>
      <c r="AU187" s="18"/>
      <c r="AV187" s="18"/>
      <c r="AW187" s="18"/>
      <c r="AX187" s="18"/>
      <c r="AY187" s="18"/>
      <c r="AZ187" s="18"/>
      <c r="BA187" s="18"/>
      <c r="BB187" s="18"/>
      <c r="BC187" s="18"/>
      <c r="BD187" s="18"/>
      <c r="BE187" s="18"/>
      <c r="BF187" s="18"/>
    </row>
    <row r="188" spans="26:58" s="157" customFormat="1">
      <c r="Z188" s="270"/>
      <c r="AA188" s="261"/>
      <c r="AB188" s="158"/>
      <c r="AC188" s="158"/>
      <c r="AD188" s="158"/>
      <c r="AE188" s="158"/>
      <c r="AF188" s="158"/>
      <c r="AG188" s="158"/>
      <c r="AH188" s="158"/>
      <c r="AI188" s="158"/>
      <c r="AJ188" s="158"/>
      <c r="AK188" s="158"/>
      <c r="AL188" s="18"/>
      <c r="AM188" s="18"/>
      <c r="AN188" s="18"/>
      <c r="AO188" s="18"/>
      <c r="AP188" s="18"/>
      <c r="AQ188" s="18"/>
      <c r="AR188" s="18"/>
      <c r="AS188" s="18"/>
      <c r="AT188" s="18"/>
      <c r="AU188" s="18"/>
      <c r="AV188" s="18"/>
      <c r="AW188" s="18"/>
      <c r="AX188" s="18"/>
      <c r="AY188" s="18"/>
      <c r="AZ188" s="18"/>
      <c r="BA188" s="18"/>
      <c r="BB188" s="18"/>
      <c r="BC188" s="18"/>
      <c r="BD188" s="18"/>
      <c r="BE188" s="18"/>
      <c r="BF188" s="18"/>
    </row>
    <row r="189" spans="26:58" s="157" customFormat="1">
      <c r="Z189" s="270"/>
      <c r="AA189" s="261"/>
      <c r="AB189" s="158"/>
      <c r="AC189" s="158"/>
      <c r="AD189" s="158"/>
      <c r="AE189" s="158"/>
      <c r="AF189" s="158"/>
      <c r="AG189" s="158"/>
      <c r="AH189" s="158"/>
      <c r="AI189" s="158"/>
      <c r="AJ189" s="158"/>
      <c r="AK189" s="158"/>
      <c r="AL189" s="18"/>
      <c r="AM189" s="18"/>
      <c r="AN189" s="18"/>
      <c r="AO189" s="18"/>
      <c r="AP189" s="18"/>
      <c r="AQ189" s="18"/>
      <c r="AR189" s="18"/>
      <c r="AS189" s="18"/>
      <c r="AT189" s="18"/>
      <c r="AU189" s="18"/>
      <c r="AV189" s="18"/>
      <c r="AW189" s="18"/>
      <c r="AX189" s="18"/>
      <c r="AY189" s="18"/>
      <c r="AZ189" s="18"/>
      <c r="BA189" s="18"/>
      <c r="BB189" s="18"/>
      <c r="BC189" s="18"/>
      <c r="BD189" s="18"/>
      <c r="BE189" s="18"/>
      <c r="BF189" s="18"/>
    </row>
    <row r="190" spans="26:58" s="157" customFormat="1">
      <c r="Z190" s="270"/>
      <c r="AA190" s="261"/>
      <c r="AB190" s="158"/>
      <c r="AC190" s="158"/>
      <c r="AD190" s="158"/>
      <c r="AE190" s="158"/>
      <c r="AF190" s="158"/>
      <c r="AG190" s="158"/>
      <c r="AH190" s="158"/>
      <c r="AI190" s="158"/>
      <c r="AJ190" s="158"/>
      <c r="AK190" s="158"/>
      <c r="AL190" s="18"/>
      <c r="AM190" s="18"/>
      <c r="AN190" s="18"/>
      <c r="AO190" s="18"/>
      <c r="AP190" s="18"/>
      <c r="AQ190" s="18"/>
      <c r="AR190" s="18"/>
      <c r="AS190" s="18"/>
      <c r="AT190" s="18"/>
      <c r="AU190" s="18"/>
      <c r="AV190" s="18"/>
      <c r="AW190" s="18"/>
      <c r="AX190" s="18"/>
      <c r="AY190" s="18"/>
      <c r="AZ190" s="18"/>
      <c r="BA190" s="18"/>
      <c r="BB190" s="18"/>
      <c r="BC190" s="18"/>
      <c r="BD190" s="18"/>
      <c r="BE190" s="18"/>
      <c r="BF190" s="18"/>
    </row>
    <row r="191" spans="26:58" s="157" customFormat="1">
      <c r="Z191" s="270"/>
      <c r="AA191" s="261"/>
      <c r="AB191" s="158"/>
      <c r="AC191" s="158"/>
      <c r="AD191" s="158"/>
      <c r="AE191" s="158"/>
      <c r="AF191" s="158"/>
      <c r="AG191" s="158"/>
      <c r="AH191" s="158"/>
      <c r="AI191" s="158"/>
      <c r="AJ191" s="158"/>
      <c r="AK191" s="158"/>
      <c r="AL191" s="18"/>
      <c r="AM191" s="18"/>
      <c r="AN191" s="18"/>
      <c r="AO191" s="18"/>
      <c r="AP191" s="18"/>
      <c r="AQ191" s="18"/>
      <c r="AR191" s="18"/>
      <c r="AS191" s="18"/>
      <c r="AT191" s="18"/>
      <c r="AU191" s="18"/>
      <c r="AV191" s="18"/>
      <c r="AW191" s="18"/>
      <c r="AX191" s="18"/>
      <c r="AY191" s="18"/>
      <c r="AZ191" s="18"/>
      <c r="BA191" s="18"/>
      <c r="BB191" s="18"/>
      <c r="BC191" s="18"/>
      <c r="BD191" s="18"/>
      <c r="BE191" s="18"/>
      <c r="BF191" s="18"/>
    </row>
    <row r="192" spans="26:58" s="157" customFormat="1">
      <c r="Z192" s="270"/>
      <c r="AA192" s="261"/>
      <c r="AB192" s="158"/>
      <c r="AC192" s="158"/>
      <c r="AD192" s="158"/>
      <c r="AE192" s="158"/>
      <c r="AF192" s="158"/>
      <c r="AG192" s="158"/>
      <c r="AH192" s="158"/>
      <c r="AI192" s="158"/>
      <c r="AJ192" s="158"/>
      <c r="AK192" s="158"/>
      <c r="AL192" s="18"/>
      <c r="AM192" s="18"/>
      <c r="AN192" s="18"/>
      <c r="AO192" s="18"/>
      <c r="AP192" s="18"/>
      <c r="AQ192" s="18"/>
      <c r="AR192" s="18"/>
      <c r="AS192" s="18"/>
      <c r="AT192" s="18"/>
      <c r="AU192" s="18"/>
      <c r="AV192" s="18"/>
      <c r="AW192" s="18"/>
      <c r="AX192" s="18"/>
      <c r="AY192" s="18"/>
      <c r="AZ192" s="18"/>
      <c r="BA192" s="18"/>
      <c r="BB192" s="18"/>
      <c r="BC192" s="18"/>
      <c r="BD192" s="18"/>
      <c r="BE192" s="18"/>
      <c r="BF192" s="18"/>
    </row>
    <row r="193" spans="26:58" s="157" customFormat="1">
      <c r="Z193" s="270"/>
      <c r="AA193" s="261"/>
      <c r="AB193" s="158"/>
      <c r="AC193" s="158"/>
      <c r="AD193" s="158"/>
      <c r="AE193" s="158"/>
      <c r="AF193" s="158"/>
      <c r="AG193" s="158"/>
      <c r="AH193" s="158"/>
      <c r="AI193" s="158"/>
      <c r="AJ193" s="158"/>
      <c r="AK193" s="158"/>
      <c r="AL193" s="18"/>
      <c r="AM193" s="18"/>
      <c r="AN193" s="18"/>
      <c r="AO193" s="18"/>
      <c r="AP193" s="18"/>
      <c r="AQ193" s="18"/>
      <c r="AR193" s="18"/>
      <c r="AS193" s="18"/>
      <c r="AT193" s="18"/>
      <c r="AU193" s="18"/>
      <c r="AV193" s="18"/>
      <c r="AW193" s="18"/>
      <c r="AX193" s="18"/>
      <c r="AY193" s="18"/>
      <c r="AZ193" s="18"/>
      <c r="BA193" s="18"/>
      <c r="BB193" s="18"/>
      <c r="BC193" s="18"/>
      <c r="BD193" s="18"/>
      <c r="BE193" s="18"/>
      <c r="BF193" s="18"/>
    </row>
  </sheetData>
  <sheetProtection password="C446" sheet="1" objects="1" scenarios="1"/>
  <mergeCells count="22">
    <mergeCell ref="F2:W2"/>
    <mergeCell ref="F14:I14"/>
    <mergeCell ref="J14:M14"/>
    <mergeCell ref="P14:S14"/>
    <mergeCell ref="T14:W14"/>
    <mergeCell ref="J6:M6"/>
    <mergeCell ref="T6:W6"/>
    <mergeCell ref="L8:M8"/>
    <mergeCell ref="L9:M9"/>
    <mergeCell ref="L10:M10"/>
    <mergeCell ref="L11:M11"/>
    <mergeCell ref="L12:M12"/>
    <mergeCell ref="V8:W8"/>
    <mergeCell ref="V9:W9"/>
    <mergeCell ref="V10:W10"/>
    <mergeCell ref="F75:S75"/>
    <mergeCell ref="V11:W11"/>
    <mergeCell ref="B34:D34"/>
    <mergeCell ref="G68:M71"/>
    <mergeCell ref="Q68:W71"/>
    <mergeCell ref="T73:W73"/>
    <mergeCell ref="V12:W12"/>
  </mergeCells>
  <dataValidations count="3">
    <dataValidation type="whole" allowBlank="1" showInputMessage="1" showErrorMessage="1" error="O número de indivíduos precisa ser um valor inteiro" sqref="I16:I65 S16:S65 W16:W65 M16:M20 M22:M65">
      <formula1>0</formula1>
      <formula2>5000</formula2>
    </dataValidation>
    <dataValidation type="list" allowBlank="1" showInputMessage="1" showErrorMessage="1" sqref="F16:F65 P16:P65 T16:T65 J16:J20 J22:J65">
      <formula1>indicadores_peixes</formula1>
    </dataValidation>
    <dataValidation type="list" allowBlank="1" showInputMessage="1" showErrorMessage="1" sqref="Q16:Q65 G16:G65 U16:U65 K16:K20 K22:K65">
      <formula1>$AA$2:$AA$161</formula1>
    </dataValidation>
  </dataValidations>
  <pageMargins left="0.11811023622047245" right="0.19685039370078741" top="0.59055118110236227" bottom="0.39370078740157483" header="0.23622047244094491" footer="0.31496062992125984"/>
  <pageSetup paperSize="9" orientation="portrait" horizontalDpi="4294967292" verticalDpi="4294967292"/>
  <headerFooter>
    <oddHeader>&amp;CReef Check Brasil - peixes dados espécies</oddHeader>
    <oddFooter>Página &amp;P de &amp;N</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B1:BM171"/>
  <sheetViews>
    <sheetView topLeftCell="A4" workbookViewId="0">
      <pane xSplit="3" topLeftCell="D1" activePane="topRight" state="frozen"/>
      <selection activeCell="C3" sqref="C3:E3"/>
      <selection pane="topRight" activeCell="P38" sqref="P38"/>
    </sheetView>
  </sheetViews>
  <sheetFormatPr baseColWidth="10" defaultColWidth="8.83203125" defaultRowHeight="12" x14ac:dyDescent="0"/>
  <cols>
    <col min="1" max="1" width="0.5" style="154" customWidth="1"/>
    <col min="2" max="3" width="24.5" style="154" bestFit="1" customWidth="1"/>
    <col min="4" max="4" width="0.6640625" style="154" customWidth="1"/>
    <col min="5" max="5" width="23" style="204" customWidth="1"/>
    <col min="6" max="6" width="19.83203125" style="156" customWidth="1"/>
    <col min="7" max="7" width="10" style="156" bestFit="1" customWidth="1"/>
    <col min="8" max="8" width="23" style="156" customWidth="1"/>
    <col min="9" max="9" width="19.83203125" style="156" customWidth="1"/>
    <col min="10" max="10" width="10" style="156" bestFit="1" customWidth="1"/>
    <col min="11" max="11" width="23" style="156" customWidth="1"/>
    <col min="12" max="12" width="19.83203125" style="156" customWidth="1"/>
    <col min="13" max="13" width="10" style="156" bestFit="1" customWidth="1"/>
    <col min="14" max="14" width="23.33203125" style="156" customWidth="1"/>
    <col min="15" max="15" width="19.6640625" style="156" customWidth="1"/>
    <col min="16" max="16" width="10" style="154" bestFit="1" customWidth="1"/>
    <col min="17" max="17" width="1" style="157" customWidth="1"/>
    <col min="18" max="18" width="2.6640625" style="157" customWidth="1"/>
    <col min="19" max="19" width="19.5" style="261" bestFit="1" customWidth="1"/>
    <col min="20" max="20" width="24.5" style="261" bestFit="1" customWidth="1"/>
    <col min="21" max="30" width="8.83203125" style="158" customWidth="1"/>
    <col min="31" max="64" width="8.83203125" style="18" customWidth="1"/>
    <col min="65" max="65" width="8.83203125" style="157" customWidth="1"/>
    <col min="66" max="16384" width="8.83203125" style="154"/>
  </cols>
  <sheetData>
    <row r="1" spans="2:65" ht="13" thickBot="1">
      <c r="E1" s="155"/>
    </row>
    <row r="2" spans="2:65" s="20" customFormat="1" ht="13">
      <c r="B2" s="205"/>
      <c r="C2" s="320" t="s">
        <v>273</v>
      </c>
      <c r="D2" s="205"/>
      <c r="E2" s="390" t="s">
        <v>418</v>
      </c>
      <c r="F2" s="390"/>
      <c r="G2" s="391"/>
      <c r="H2" s="391"/>
      <c r="I2" s="391"/>
      <c r="J2" s="391"/>
      <c r="K2" s="391"/>
      <c r="L2" s="391"/>
      <c r="M2" s="391"/>
      <c r="N2" s="391"/>
      <c r="O2" s="391"/>
      <c r="P2" s="391"/>
      <c r="Q2" s="206"/>
      <c r="R2" s="158"/>
      <c r="S2" s="257"/>
      <c r="T2" s="163" t="s">
        <v>103</v>
      </c>
      <c r="U2" s="158"/>
      <c r="V2" s="158"/>
      <c r="W2" s="158"/>
      <c r="X2" s="158"/>
      <c r="Y2" s="158"/>
      <c r="Z2" s="158"/>
      <c r="AA2" s="158"/>
      <c r="AB2" s="158"/>
      <c r="AC2" s="158"/>
      <c r="AD2" s="15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57"/>
    </row>
    <row r="3" spans="2:65" s="20" customFormat="1" ht="14">
      <c r="B3" s="219" t="s">
        <v>104</v>
      </c>
      <c r="C3" s="223" t="s">
        <v>292</v>
      </c>
      <c r="D3" s="207"/>
      <c r="E3" s="208"/>
      <c r="F3" s="208"/>
      <c r="G3" s="209"/>
      <c r="H3" s="209"/>
      <c r="I3" s="209"/>
      <c r="J3" s="209"/>
      <c r="K3" s="209"/>
      <c r="L3" s="209"/>
      <c r="M3" s="209"/>
      <c r="N3" s="209"/>
      <c r="O3" s="209"/>
      <c r="P3" s="209"/>
      <c r="Q3" s="210"/>
      <c r="R3" s="158"/>
      <c r="S3" s="211" t="s">
        <v>44</v>
      </c>
      <c r="T3" s="170" t="s">
        <v>105</v>
      </c>
      <c r="U3" s="158"/>
      <c r="V3" s="158"/>
      <c r="W3" s="158"/>
      <c r="X3" s="158"/>
      <c r="Y3" s="158"/>
      <c r="Z3" s="158"/>
      <c r="AA3" s="158"/>
      <c r="AB3" s="158"/>
      <c r="AC3" s="158"/>
      <c r="AD3" s="15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57"/>
    </row>
    <row r="4" spans="2:65" s="20" customFormat="1" ht="17">
      <c r="B4" s="222" t="s">
        <v>103</v>
      </c>
      <c r="C4" s="59"/>
      <c r="D4" s="207"/>
      <c r="E4" s="393" t="s">
        <v>424</v>
      </c>
      <c r="F4" s="393"/>
      <c r="G4" s="393"/>
      <c r="H4" s="393"/>
      <c r="I4" s="393"/>
      <c r="J4" s="392" t="s">
        <v>271</v>
      </c>
      <c r="K4" s="392"/>
      <c r="L4" s="392"/>
      <c r="M4" s="392"/>
      <c r="N4" s="392"/>
      <c r="O4" s="214"/>
      <c r="P4" s="213"/>
      <c r="Q4" s="210"/>
      <c r="R4" s="158"/>
      <c r="S4" s="211" t="s">
        <v>396</v>
      </c>
      <c r="T4" s="170" t="s">
        <v>106</v>
      </c>
      <c r="U4" s="158"/>
      <c r="V4" s="158"/>
      <c r="W4" s="158"/>
      <c r="X4" s="158"/>
      <c r="Y4" s="158"/>
      <c r="Z4" s="158"/>
      <c r="AA4" s="158"/>
      <c r="AB4" s="158"/>
      <c r="AC4" s="158"/>
      <c r="AD4" s="15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57"/>
    </row>
    <row r="5" spans="2:65" s="20" customFormat="1" ht="14">
      <c r="B5" s="226" t="s">
        <v>105</v>
      </c>
      <c r="C5" s="287" t="s">
        <v>50</v>
      </c>
      <c r="D5" s="207"/>
      <c r="E5" s="393"/>
      <c r="F5" s="393"/>
      <c r="G5" s="393"/>
      <c r="H5" s="393"/>
      <c r="I5" s="393"/>
      <c r="J5" s="213"/>
      <c r="K5" s="213"/>
      <c r="L5" s="213"/>
      <c r="M5" s="213"/>
      <c r="N5" s="280"/>
      <c r="O5" s="213"/>
      <c r="P5" s="213"/>
      <c r="Q5" s="210"/>
      <c r="R5" s="158"/>
      <c r="S5" s="211" t="s">
        <v>277</v>
      </c>
      <c r="T5" s="215" t="s">
        <v>272</v>
      </c>
      <c r="U5" s="158"/>
      <c r="V5" s="158"/>
      <c r="W5" s="158"/>
      <c r="X5" s="158"/>
      <c r="Y5" s="158"/>
      <c r="Z5" s="158"/>
      <c r="AA5" s="158"/>
      <c r="AB5" s="158"/>
      <c r="AC5" s="158"/>
      <c r="AD5" s="15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57"/>
    </row>
    <row r="6" spans="2:65" s="20" customFormat="1" ht="14">
      <c r="B6" s="226" t="s">
        <v>106</v>
      </c>
      <c r="C6" s="223" t="s">
        <v>286</v>
      </c>
      <c r="D6" s="207"/>
      <c r="E6" s="213"/>
      <c r="F6" s="213"/>
      <c r="G6" s="213"/>
      <c r="H6" s="212"/>
      <c r="I6" s="213"/>
      <c r="J6" s="213"/>
      <c r="K6" s="212"/>
      <c r="L6" s="306" t="s">
        <v>275</v>
      </c>
      <c r="M6" s="282"/>
      <c r="N6" s="281" t="s">
        <v>48</v>
      </c>
      <c r="O6" s="306" t="s">
        <v>274</v>
      </c>
      <c r="P6" s="213"/>
      <c r="Q6" s="210"/>
      <c r="R6" s="158"/>
      <c r="S6" s="211" t="s">
        <v>275</v>
      </c>
      <c r="T6" s="215" t="s">
        <v>276</v>
      </c>
      <c r="U6" s="158"/>
      <c r="V6" s="158"/>
      <c r="W6" s="158"/>
      <c r="X6" s="158"/>
      <c r="Y6" s="158"/>
      <c r="Z6" s="158"/>
      <c r="AA6" s="158"/>
      <c r="AB6" s="158"/>
      <c r="AC6" s="158"/>
      <c r="AD6" s="15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57"/>
    </row>
    <row r="7" spans="2:65" s="20" customFormat="1" ht="14">
      <c r="B7" s="207"/>
      <c r="C7" s="59"/>
      <c r="D7" s="207"/>
      <c r="E7" s="212" t="s">
        <v>425</v>
      </c>
      <c r="F7" s="216"/>
      <c r="G7" s="216"/>
      <c r="H7" s="212"/>
      <c r="I7" s="213"/>
      <c r="J7" s="213"/>
      <c r="K7" s="306" t="s">
        <v>44</v>
      </c>
      <c r="L7" s="281" t="s">
        <v>45</v>
      </c>
      <c r="M7" s="282"/>
      <c r="N7" s="281" t="s">
        <v>273</v>
      </c>
      <c r="O7" s="281" t="s">
        <v>278</v>
      </c>
      <c r="P7" s="307"/>
      <c r="Q7" s="210"/>
      <c r="R7" s="158"/>
      <c r="S7" s="211" t="s">
        <v>45</v>
      </c>
      <c r="T7" s="215" t="s">
        <v>279</v>
      </c>
      <c r="U7" s="158"/>
      <c r="V7" s="158"/>
      <c r="W7" s="158"/>
      <c r="X7" s="158"/>
      <c r="Y7" s="158"/>
      <c r="Z7" s="158"/>
      <c r="AA7" s="158"/>
      <c r="AB7" s="158"/>
      <c r="AC7" s="158"/>
      <c r="AD7" s="15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57"/>
    </row>
    <row r="8" spans="2:65" s="20" customFormat="1" ht="14">
      <c r="B8" s="288" t="s">
        <v>44</v>
      </c>
      <c r="C8" s="287" t="s">
        <v>51</v>
      </c>
      <c r="D8" s="207"/>
      <c r="E8" s="212" t="s">
        <v>426</v>
      </c>
      <c r="F8" s="216"/>
      <c r="G8" s="216"/>
      <c r="H8" s="212"/>
      <c r="I8" s="213"/>
      <c r="J8" s="213"/>
      <c r="K8" s="306" t="s">
        <v>388</v>
      </c>
      <c r="L8" s="281" t="s">
        <v>46</v>
      </c>
      <c r="M8" s="279"/>
      <c r="N8" s="281" t="s">
        <v>50</v>
      </c>
      <c r="O8" s="281" t="s">
        <v>53</v>
      </c>
      <c r="P8" s="307"/>
      <c r="Q8" s="210"/>
      <c r="R8" s="158"/>
      <c r="S8" s="211" t="s">
        <v>46</v>
      </c>
      <c r="T8" s="215" t="s">
        <v>280</v>
      </c>
      <c r="U8" s="158"/>
      <c r="V8" s="158"/>
      <c r="W8" s="158"/>
      <c r="X8" s="158"/>
      <c r="Y8" s="158"/>
      <c r="Z8" s="158"/>
      <c r="AA8" s="158"/>
      <c r="AB8" s="158"/>
      <c r="AC8" s="158"/>
      <c r="AD8" s="15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57"/>
    </row>
    <row r="9" spans="2:65" s="20" customFormat="1" ht="14">
      <c r="B9" s="231" t="s">
        <v>282</v>
      </c>
      <c r="C9" s="223" t="s">
        <v>294</v>
      </c>
      <c r="D9" s="207"/>
      <c r="E9" s="394"/>
      <c r="F9" s="394"/>
      <c r="G9" s="394"/>
      <c r="H9" s="394"/>
      <c r="I9" s="394"/>
      <c r="J9" s="394"/>
      <c r="K9" s="306" t="s">
        <v>277</v>
      </c>
      <c r="L9" s="281" t="s">
        <v>47</v>
      </c>
      <c r="M9" s="279"/>
      <c r="N9" s="281" t="s">
        <v>51</v>
      </c>
      <c r="O9" s="281" t="s">
        <v>69</v>
      </c>
      <c r="P9" s="307"/>
      <c r="Q9" s="210"/>
      <c r="R9" s="158"/>
      <c r="S9" s="211" t="s">
        <v>47</v>
      </c>
      <c r="T9" s="215" t="s">
        <v>281</v>
      </c>
      <c r="U9" s="158"/>
      <c r="V9" s="158"/>
      <c r="W9" s="158"/>
      <c r="X9" s="158"/>
      <c r="Y9" s="158"/>
      <c r="Z9" s="158"/>
      <c r="AA9" s="158"/>
      <c r="AB9" s="158"/>
      <c r="AC9" s="158"/>
      <c r="AD9" s="15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57"/>
    </row>
    <row r="10" spans="2:65" s="20" customFormat="1" ht="3" customHeight="1" thickBot="1">
      <c r="B10" s="207"/>
      <c r="C10" s="59"/>
      <c r="D10" s="207"/>
      <c r="E10" s="216"/>
      <c r="F10" s="216"/>
      <c r="G10" s="216"/>
      <c r="H10" s="216"/>
      <c r="I10" s="216"/>
      <c r="J10" s="216"/>
      <c r="K10" s="216"/>
      <c r="L10" s="216"/>
      <c r="M10" s="217"/>
      <c r="N10" s="218"/>
      <c r="O10" s="386"/>
      <c r="P10" s="386"/>
      <c r="Q10" s="210"/>
      <c r="R10" s="158"/>
      <c r="S10" s="211" t="s">
        <v>283</v>
      </c>
      <c r="T10" s="215" t="s">
        <v>399</v>
      </c>
      <c r="U10" s="158"/>
      <c r="V10" s="158"/>
      <c r="W10" s="158"/>
      <c r="X10" s="158"/>
      <c r="Y10" s="158"/>
      <c r="Z10" s="158"/>
      <c r="AA10" s="158"/>
      <c r="AB10" s="158"/>
      <c r="AC10" s="158"/>
      <c r="AD10" s="15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57"/>
    </row>
    <row r="11" spans="2:65" s="20" customFormat="1" ht="15" thickBot="1">
      <c r="B11" s="207"/>
      <c r="C11" s="59"/>
      <c r="D11" s="207"/>
      <c r="E11" s="387" t="s">
        <v>139</v>
      </c>
      <c r="F11" s="388"/>
      <c r="G11" s="389"/>
      <c r="H11" s="388" t="s">
        <v>140</v>
      </c>
      <c r="I11" s="388"/>
      <c r="J11" s="389"/>
      <c r="K11" s="387" t="s">
        <v>141</v>
      </c>
      <c r="L11" s="388"/>
      <c r="M11" s="389"/>
      <c r="N11" s="388" t="s">
        <v>142</v>
      </c>
      <c r="O11" s="388"/>
      <c r="P11" s="389"/>
      <c r="Q11" s="210"/>
      <c r="R11" s="158"/>
      <c r="S11" s="211" t="s">
        <v>285</v>
      </c>
      <c r="T11" s="215" t="s">
        <v>282</v>
      </c>
      <c r="U11" s="158"/>
      <c r="V11" s="158"/>
      <c r="W11" s="158"/>
      <c r="X11" s="158"/>
      <c r="Y11" s="158"/>
      <c r="Z11" s="158"/>
      <c r="AA11" s="158"/>
      <c r="AB11" s="158"/>
      <c r="AC11" s="158"/>
      <c r="AD11" s="15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57"/>
    </row>
    <row r="12" spans="2:65" s="20" customFormat="1" ht="15" thickBot="1">
      <c r="B12" s="288" t="s">
        <v>388</v>
      </c>
      <c r="C12" s="287" t="s">
        <v>274</v>
      </c>
      <c r="D12" s="207"/>
      <c r="E12" s="220" t="s">
        <v>146</v>
      </c>
      <c r="F12" s="221" t="s">
        <v>147</v>
      </c>
      <c r="G12" s="283" t="s">
        <v>380</v>
      </c>
      <c r="H12" s="221" t="s">
        <v>146</v>
      </c>
      <c r="I12" s="221" t="s">
        <v>147</v>
      </c>
      <c r="J12" s="283" t="s">
        <v>380</v>
      </c>
      <c r="K12" s="220" t="s">
        <v>146</v>
      </c>
      <c r="L12" s="221" t="s">
        <v>147</v>
      </c>
      <c r="M12" s="283" t="s">
        <v>380</v>
      </c>
      <c r="N12" s="220" t="s">
        <v>146</v>
      </c>
      <c r="O12" s="221" t="s">
        <v>147</v>
      </c>
      <c r="P12" s="283" t="s">
        <v>380</v>
      </c>
      <c r="Q12" s="210"/>
      <c r="R12" s="158"/>
      <c r="S12" s="211" t="s">
        <v>288</v>
      </c>
      <c r="T12" s="215" t="s">
        <v>284</v>
      </c>
      <c r="U12" s="158"/>
      <c r="V12" s="158"/>
      <c r="W12" s="158"/>
      <c r="X12" s="158"/>
      <c r="Y12" s="158"/>
      <c r="Z12" s="158"/>
      <c r="AA12" s="158"/>
      <c r="AB12" s="158"/>
      <c r="AC12" s="158"/>
      <c r="AD12" s="15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57"/>
    </row>
    <row r="13" spans="2:65" s="20" customFormat="1" ht="14">
      <c r="B13" s="231" t="s">
        <v>280</v>
      </c>
      <c r="C13" s="304" t="s">
        <v>299</v>
      </c>
      <c r="D13" s="207"/>
      <c r="E13" s="224" t="s">
        <v>58</v>
      </c>
      <c r="F13" s="225" t="s">
        <v>287</v>
      </c>
      <c r="G13" s="290"/>
      <c r="H13" s="224" t="s">
        <v>58</v>
      </c>
      <c r="I13" s="225" t="s">
        <v>287</v>
      </c>
      <c r="J13" s="290"/>
      <c r="K13" s="224" t="s">
        <v>58</v>
      </c>
      <c r="L13" s="225" t="s">
        <v>287</v>
      </c>
      <c r="M13" s="290"/>
      <c r="N13" s="224" t="s">
        <v>58</v>
      </c>
      <c r="O13" s="225" t="s">
        <v>287</v>
      </c>
      <c r="P13" s="290"/>
      <c r="Q13" s="210"/>
      <c r="R13" s="158"/>
      <c r="S13" s="211" t="s">
        <v>291</v>
      </c>
      <c r="T13" s="215" t="s">
        <v>286</v>
      </c>
      <c r="U13" s="158"/>
      <c r="V13" s="158"/>
      <c r="W13" s="158"/>
      <c r="X13" s="158"/>
      <c r="Y13" s="158"/>
      <c r="Z13" s="158"/>
      <c r="AA13" s="158"/>
      <c r="AB13" s="158"/>
      <c r="AC13" s="158"/>
      <c r="AD13" s="15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57"/>
    </row>
    <row r="14" spans="2:65" s="20" customFormat="1" ht="14">
      <c r="B14" s="231" t="s">
        <v>281</v>
      </c>
      <c r="C14" s="59"/>
      <c r="D14" s="207"/>
      <c r="E14" s="227" t="s">
        <v>290</v>
      </c>
      <c r="F14" s="228" t="s">
        <v>287</v>
      </c>
      <c r="G14" s="291"/>
      <c r="H14" s="227" t="s">
        <v>290</v>
      </c>
      <c r="I14" s="228" t="s">
        <v>287</v>
      </c>
      <c r="J14" s="291"/>
      <c r="K14" s="227" t="s">
        <v>290</v>
      </c>
      <c r="L14" s="228" t="s">
        <v>287</v>
      </c>
      <c r="M14" s="291"/>
      <c r="N14" s="227" t="s">
        <v>290</v>
      </c>
      <c r="O14" s="228" t="s">
        <v>287</v>
      </c>
      <c r="P14" s="291"/>
      <c r="Q14" s="210"/>
      <c r="R14" s="158"/>
      <c r="S14" s="211" t="s">
        <v>69</v>
      </c>
      <c r="T14" s="215" t="s">
        <v>289</v>
      </c>
      <c r="U14" s="158"/>
      <c r="V14" s="158"/>
      <c r="W14" s="158"/>
      <c r="X14" s="158"/>
      <c r="Y14" s="158"/>
      <c r="Z14" s="158"/>
      <c r="AA14" s="158"/>
      <c r="AB14" s="158"/>
      <c r="AC14" s="158"/>
      <c r="AD14" s="15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57"/>
    </row>
    <row r="15" spans="2:65" s="20" customFormat="1" ht="14">
      <c r="B15" s="231" t="s">
        <v>340</v>
      </c>
      <c r="C15" s="287" t="s">
        <v>278</v>
      </c>
      <c r="D15" s="207"/>
      <c r="E15" s="227" t="s">
        <v>293</v>
      </c>
      <c r="F15" s="228" t="s">
        <v>287</v>
      </c>
      <c r="G15" s="291"/>
      <c r="H15" s="227" t="s">
        <v>293</v>
      </c>
      <c r="I15" s="228" t="s">
        <v>287</v>
      </c>
      <c r="J15" s="291"/>
      <c r="K15" s="227" t="s">
        <v>293</v>
      </c>
      <c r="L15" s="228" t="s">
        <v>287</v>
      </c>
      <c r="M15" s="291"/>
      <c r="N15" s="227" t="s">
        <v>293</v>
      </c>
      <c r="O15" s="228" t="s">
        <v>287</v>
      </c>
      <c r="P15" s="291"/>
      <c r="Q15" s="210"/>
      <c r="R15" s="158"/>
      <c r="S15" s="211" t="s">
        <v>274</v>
      </c>
      <c r="T15" s="215" t="s">
        <v>292</v>
      </c>
      <c r="U15" s="158"/>
      <c r="V15" s="158"/>
      <c r="W15" s="158"/>
      <c r="X15" s="158"/>
      <c r="Y15" s="158"/>
      <c r="Z15" s="158"/>
      <c r="AA15" s="158"/>
      <c r="AB15" s="158"/>
      <c r="AC15" s="158"/>
      <c r="AD15" s="15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57"/>
    </row>
    <row r="16" spans="2:65" s="20" customFormat="1" ht="15" thickBot="1">
      <c r="B16" s="231" t="s">
        <v>436</v>
      </c>
      <c r="C16" s="235" t="s">
        <v>297</v>
      </c>
      <c r="D16" s="207"/>
      <c r="E16" s="310" t="s">
        <v>361</v>
      </c>
      <c r="F16" s="311" t="s">
        <v>287</v>
      </c>
      <c r="G16" s="302"/>
      <c r="H16" s="310" t="s">
        <v>361</v>
      </c>
      <c r="I16" s="311" t="s">
        <v>287</v>
      </c>
      <c r="J16" s="302"/>
      <c r="K16" s="310" t="s">
        <v>361</v>
      </c>
      <c r="L16" s="311" t="s">
        <v>287</v>
      </c>
      <c r="M16" s="302"/>
      <c r="N16" s="310" t="s">
        <v>361</v>
      </c>
      <c r="O16" s="311" t="s">
        <v>287</v>
      </c>
      <c r="P16" s="302"/>
      <c r="Q16" s="210"/>
      <c r="R16" s="158"/>
      <c r="S16" s="211" t="s">
        <v>52</v>
      </c>
      <c r="T16" s="215" t="s">
        <v>144</v>
      </c>
      <c r="U16" s="158"/>
      <c r="V16" s="158"/>
      <c r="W16" s="158"/>
      <c r="X16" s="158"/>
      <c r="Y16" s="158"/>
      <c r="Z16" s="158"/>
      <c r="AA16" s="158"/>
      <c r="AB16" s="158"/>
      <c r="AC16" s="158"/>
      <c r="AD16" s="15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57"/>
    </row>
    <row r="17" spans="2:65" s="20" customFormat="1" ht="14">
      <c r="B17" s="207"/>
      <c r="C17" s="59"/>
      <c r="D17" s="207"/>
      <c r="E17" s="308" t="s">
        <v>54</v>
      </c>
      <c r="F17" s="230" t="s">
        <v>296</v>
      </c>
      <c r="G17" s="309"/>
      <c r="H17" s="308" t="s">
        <v>54</v>
      </c>
      <c r="I17" s="230" t="s">
        <v>296</v>
      </c>
      <c r="J17" s="309"/>
      <c r="K17" s="308" t="s">
        <v>54</v>
      </c>
      <c r="L17" s="230" t="s">
        <v>296</v>
      </c>
      <c r="M17" s="309"/>
      <c r="N17" s="308" t="s">
        <v>54</v>
      </c>
      <c r="O17" s="230" t="s">
        <v>296</v>
      </c>
      <c r="P17" s="309"/>
      <c r="Q17" s="210"/>
      <c r="R17" s="158"/>
      <c r="S17" s="266" t="s">
        <v>53</v>
      </c>
      <c r="T17" s="215" t="s">
        <v>150</v>
      </c>
      <c r="U17" s="158"/>
      <c r="V17" s="158"/>
      <c r="W17" s="158"/>
      <c r="X17" s="158"/>
      <c r="Y17" s="158"/>
      <c r="Z17" s="158"/>
      <c r="AA17" s="158"/>
      <c r="AB17" s="158"/>
      <c r="AC17" s="158"/>
      <c r="AD17" s="15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57"/>
    </row>
    <row r="18" spans="2:65" s="20" customFormat="1" ht="14">
      <c r="B18" s="288" t="s">
        <v>277</v>
      </c>
      <c r="C18" s="287" t="s">
        <v>53</v>
      </c>
      <c r="D18" s="207"/>
      <c r="E18" s="227" t="s">
        <v>402</v>
      </c>
      <c r="F18" s="228" t="s">
        <v>296</v>
      </c>
      <c r="G18" s="229"/>
      <c r="H18" s="227" t="s">
        <v>402</v>
      </c>
      <c r="I18" s="228" t="s">
        <v>296</v>
      </c>
      <c r="J18" s="229"/>
      <c r="K18" s="227" t="s">
        <v>402</v>
      </c>
      <c r="L18" s="228" t="s">
        <v>296</v>
      </c>
      <c r="M18" s="229"/>
      <c r="N18" s="227" t="s">
        <v>402</v>
      </c>
      <c r="O18" s="230" t="s">
        <v>296</v>
      </c>
      <c r="P18" s="229"/>
      <c r="Q18" s="210"/>
      <c r="R18" s="158"/>
      <c r="S18" s="211"/>
      <c r="T18" s="215" t="s">
        <v>294</v>
      </c>
      <c r="U18" s="158"/>
      <c r="V18" s="158"/>
      <c r="W18" s="158"/>
      <c r="X18" s="158"/>
      <c r="Y18" s="158"/>
      <c r="Z18" s="158"/>
      <c r="AA18" s="158"/>
      <c r="AB18" s="158"/>
      <c r="AC18" s="158"/>
      <c r="AD18" s="15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57"/>
    </row>
    <row r="19" spans="2:65" ht="14">
      <c r="B19" s="231" t="s">
        <v>315</v>
      </c>
      <c r="C19" s="223" t="s">
        <v>435</v>
      </c>
      <c r="D19" s="84"/>
      <c r="E19" s="227" t="s">
        <v>55</v>
      </c>
      <c r="F19" s="228" t="s">
        <v>296</v>
      </c>
      <c r="G19" s="229"/>
      <c r="H19" s="227" t="s">
        <v>55</v>
      </c>
      <c r="I19" s="228" t="s">
        <v>296</v>
      </c>
      <c r="J19" s="229"/>
      <c r="K19" s="227" t="s">
        <v>55</v>
      </c>
      <c r="L19" s="228" t="s">
        <v>296</v>
      </c>
      <c r="M19" s="229"/>
      <c r="N19" s="227" t="s">
        <v>55</v>
      </c>
      <c r="O19" s="230" t="s">
        <v>296</v>
      </c>
      <c r="P19" s="229"/>
      <c r="Q19" s="210"/>
      <c r="R19" s="158"/>
      <c r="S19" s="211"/>
      <c r="T19" s="215" t="s">
        <v>153</v>
      </c>
    </row>
    <row r="20" spans="2:65" ht="14">
      <c r="B20" s="231" t="s">
        <v>307</v>
      </c>
      <c r="C20" s="223" t="s">
        <v>301</v>
      </c>
      <c r="D20" s="84"/>
      <c r="E20" s="227" t="s">
        <v>56</v>
      </c>
      <c r="F20" s="228" t="s">
        <v>296</v>
      </c>
      <c r="G20" s="229">
        <v>1</v>
      </c>
      <c r="H20" s="227" t="s">
        <v>56</v>
      </c>
      <c r="I20" s="228" t="s">
        <v>296</v>
      </c>
      <c r="J20" s="229"/>
      <c r="K20" s="227" t="s">
        <v>56</v>
      </c>
      <c r="L20" s="228" t="s">
        <v>296</v>
      </c>
      <c r="M20" s="229"/>
      <c r="N20" s="227" t="s">
        <v>56</v>
      </c>
      <c r="O20" s="228" t="s">
        <v>296</v>
      </c>
      <c r="P20" s="229"/>
      <c r="Q20" s="210"/>
      <c r="R20" s="158"/>
      <c r="S20" s="258"/>
      <c r="T20" s="215" t="s">
        <v>297</v>
      </c>
    </row>
    <row r="21" spans="2:65" ht="14">
      <c r="B21" s="236" t="s">
        <v>308</v>
      </c>
      <c r="C21" s="59"/>
      <c r="D21" s="84"/>
      <c r="E21" s="227" t="s">
        <v>346</v>
      </c>
      <c r="F21" s="228" t="s">
        <v>296</v>
      </c>
      <c r="G21" s="229"/>
      <c r="H21" s="227" t="s">
        <v>346</v>
      </c>
      <c r="I21" s="228" t="s">
        <v>296</v>
      </c>
      <c r="J21" s="229"/>
      <c r="K21" s="227" t="s">
        <v>346</v>
      </c>
      <c r="L21" s="228" t="s">
        <v>296</v>
      </c>
      <c r="M21" s="229"/>
      <c r="N21" s="227" t="s">
        <v>346</v>
      </c>
      <c r="O21" s="228" t="s">
        <v>296</v>
      </c>
      <c r="P21" s="229"/>
      <c r="Q21" s="210"/>
      <c r="R21" s="158"/>
      <c r="S21" s="258"/>
      <c r="T21" s="215" t="s">
        <v>299</v>
      </c>
    </row>
    <row r="22" spans="2:65" s="20" customFormat="1" ht="15">
      <c r="B22" s="231" t="s">
        <v>317</v>
      </c>
      <c r="C22" s="305" t="s">
        <v>358</v>
      </c>
      <c r="D22" s="207"/>
      <c r="E22" s="227" t="s">
        <v>57</v>
      </c>
      <c r="F22" s="230" t="s">
        <v>296</v>
      </c>
      <c r="G22" s="229"/>
      <c r="H22" s="227" t="s">
        <v>57</v>
      </c>
      <c r="I22" s="230" t="s">
        <v>296</v>
      </c>
      <c r="J22" s="229"/>
      <c r="K22" s="227" t="s">
        <v>57</v>
      </c>
      <c r="L22" s="230" t="s">
        <v>296</v>
      </c>
      <c r="M22" s="229"/>
      <c r="N22" s="227" t="s">
        <v>57</v>
      </c>
      <c r="O22" s="230" t="s">
        <v>296</v>
      </c>
      <c r="P22" s="229"/>
      <c r="Q22" s="210"/>
      <c r="R22" s="158"/>
      <c r="T22" s="215" t="s">
        <v>300</v>
      </c>
      <c r="U22" s="158"/>
      <c r="V22" s="158"/>
      <c r="W22" s="158"/>
      <c r="X22" s="158"/>
      <c r="Y22" s="158"/>
      <c r="Z22" s="158"/>
      <c r="AA22" s="158"/>
      <c r="AB22" s="158"/>
      <c r="AC22" s="158"/>
      <c r="AD22" s="15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57"/>
    </row>
    <row r="23" spans="2:65" s="20" customFormat="1" ht="15">
      <c r="B23" s="207"/>
      <c r="C23" s="305" t="s">
        <v>359</v>
      </c>
      <c r="D23" s="207"/>
      <c r="E23" s="232"/>
      <c r="F23" s="233"/>
      <c r="G23" s="234"/>
      <c r="H23" s="232"/>
      <c r="I23" s="233"/>
      <c r="J23" s="234"/>
      <c r="K23" s="232"/>
      <c r="L23" s="233"/>
      <c r="M23" s="234"/>
      <c r="N23" s="232"/>
      <c r="O23" s="233"/>
      <c r="P23" s="234"/>
      <c r="Q23" s="210"/>
      <c r="R23" s="158"/>
      <c r="S23" s="258"/>
      <c r="T23" s="215" t="s">
        <v>302</v>
      </c>
      <c r="U23" s="158"/>
      <c r="V23" s="158"/>
      <c r="W23" s="158"/>
      <c r="X23" s="158"/>
      <c r="Y23" s="158"/>
      <c r="Z23" s="158"/>
      <c r="AA23" s="158"/>
      <c r="AB23" s="158"/>
      <c r="AC23" s="158"/>
      <c r="AD23" s="15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57"/>
    </row>
    <row r="24" spans="2:65" s="20" customFormat="1" ht="14">
      <c r="B24" s="288" t="s">
        <v>275</v>
      </c>
      <c r="C24" s="287" t="s">
        <v>403</v>
      </c>
      <c r="D24" s="207"/>
      <c r="E24" s="227" t="s">
        <v>44</v>
      </c>
      <c r="F24" s="180" t="s">
        <v>103</v>
      </c>
      <c r="G24" s="291">
        <v>0</v>
      </c>
      <c r="H24" s="227" t="s">
        <v>44</v>
      </c>
      <c r="I24" s="243" t="s">
        <v>106</v>
      </c>
      <c r="J24" s="291">
        <v>1</v>
      </c>
      <c r="K24" s="227" t="s">
        <v>44</v>
      </c>
      <c r="L24" s="243" t="s">
        <v>103</v>
      </c>
      <c r="M24" s="291">
        <v>0</v>
      </c>
      <c r="N24" s="227" t="s">
        <v>44</v>
      </c>
      <c r="O24" s="322" t="s">
        <v>103</v>
      </c>
      <c r="P24" s="323">
        <v>1</v>
      </c>
      <c r="Q24" s="210"/>
      <c r="R24" s="158"/>
      <c r="S24" s="258"/>
      <c r="T24" s="215" t="s">
        <v>382</v>
      </c>
      <c r="U24" s="158"/>
      <c r="V24" s="158"/>
      <c r="W24" s="158"/>
      <c r="X24" s="158"/>
      <c r="Y24" s="158"/>
      <c r="Z24" s="158"/>
      <c r="AA24" s="158"/>
      <c r="AB24" s="158"/>
      <c r="AC24" s="158"/>
      <c r="AD24" s="15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57"/>
    </row>
    <row r="25" spans="2:65" s="20" customFormat="1" ht="14">
      <c r="B25" s="231" t="s">
        <v>279</v>
      </c>
      <c r="C25" s="223" t="s">
        <v>276</v>
      </c>
      <c r="D25" s="207"/>
      <c r="E25" s="227" t="s">
        <v>388</v>
      </c>
      <c r="F25" s="243" t="s">
        <v>106</v>
      </c>
      <c r="G25" s="291">
        <v>1</v>
      </c>
      <c r="H25" s="227" t="s">
        <v>388</v>
      </c>
      <c r="I25" s="243" t="s">
        <v>103</v>
      </c>
      <c r="J25" s="291">
        <v>0</v>
      </c>
      <c r="K25" s="227" t="s">
        <v>388</v>
      </c>
      <c r="L25" s="243" t="s">
        <v>103</v>
      </c>
      <c r="M25" s="291">
        <v>0</v>
      </c>
      <c r="N25" s="227" t="s">
        <v>388</v>
      </c>
      <c r="O25" s="322" t="s">
        <v>103</v>
      </c>
      <c r="P25" s="323">
        <v>0</v>
      </c>
      <c r="Q25" s="210"/>
      <c r="R25" s="158"/>
      <c r="S25" s="258"/>
      <c r="T25" s="215" t="s">
        <v>352</v>
      </c>
      <c r="U25" s="158"/>
      <c r="V25" s="158"/>
      <c r="W25" s="158"/>
      <c r="X25" s="158"/>
      <c r="Y25" s="158"/>
      <c r="Z25" s="158"/>
      <c r="AA25" s="158"/>
      <c r="AB25" s="158"/>
      <c r="AC25" s="158"/>
      <c r="AD25" s="15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57"/>
    </row>
    <row r="26" spans="2:65" s="20" customFormat="1" ht="14">
      <c r="B26" s="236" t="s">
        <v>316</v>
      </c>
      <c r="C26" s="223" t="s">
        <v>354</v>
      </c>
      <c r="D26" s="207"/>
      <c r="E26" s="227" t="s">
        <v>277</v>
      </c>
      <c r="F26" s="243" t="s">
        <v>103</v>
      </c>
      <c r="G26" s="291">
        <v>0</v>
      </c>
      <c r="H26" s="227" t="s">
        <v>277</v>
      </c>
      <c r="I26" s="243" t="s">
        <v>103</v>
      </c>
      <c r="J26" s="291">
        <v>0</v>
      </c>
      <c r="K26" s="227" t="s">
        <v>277</v>
      </c>
      <c r="L26" s="243" t="s">
        <v>103</v>
      </c>
      <c r="M26" s="291">
        <v>0</v>
      </c>
      <c r="N26" s="227" t="s">
        <v>277</v>
      </c>
      <c r="O26" s="322" t="s">
        <v>103</v>
      </c>
      <c r="P26" s="323">
        <v>0</v>
      </c>
      <c r="Q26" s="210"/>
      <c r="R26" s="158"/>
      <c r="S26" s="258"/>
      <c r="T26" s="215" t="s">
        <v>350</v>
      </c>
      <c r="U26" s="158"/>
      <c r="V26" s="158"/>
      <c r="W26" s="158"/>
      <c r="X26" s="158"/>
      <c r="Y26" s="158"/>
      <c r="Z26" s="158"/>
      <c r="AA26" s="158"/>
      <c r="AB26" s="158"/>
      <c r="AC26" s="158"/>
      <c r="AD26" s="15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57"/>
    </row>
    <row r="27" spans="2:65" s="20" customFormat="1" ht="14">
      <c r="B27" s="207"/>
      <c r="C27" s="59"/>
      <c r="D27" s="207"/>
      <c r="E27" s="227" t="s">
        <v>275</v>
      </c>
      <c r="F27" s="243" t="s">
        <v>103</v>
      </c>
      <c r="G27" s="291">
        <v>0</v>
      </c>
      <c r="H27" s="227" t="s">
        <v>275</v>
      </c>
      <c r="I27" s="243" t="s">
        <v>103</v>
      </c>
      <c r="J27" s="291">
        <v>0</v>
      </c>
      <c r="K27" s="227" t="s">
        <v>275</v>
      </c>
      <c r="L27" s="243" t="s">
        <v>103</v>
      </c>
      <c r="M27" s="291">
        <v>0</v>
      </c>
      <c r="N27" s="227" t="s">
        <v>275</v>
      </c>
      <c r="O27" s="322" t="s">
        <v>103</v>
      </c>
      <c r="P27" s="323">
        <v>0</v>
      </c>
      <c r="Q27" s="210"/>
      <c r="R27" s="158"/>
      <c r="S27" s="258"/>
      <c r="T27" s="215" t="s">
        <v>357</v>
      </c>
      <c r="U27" s="158"/>
      <c r="V27" s="158"/>
      <c r="W27" s="158"/>
      <c r="X27" s="158"/>
      <c r="Y27" s="158"/>
      <c r="Z27" s="158"/>
      <c r="AA27" s="158"/>
      <c r="AB27" s="158"/>
      <c r="AC27" s="158"/>
      <c r="AD27" s="15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57"/>
    </row>
    <row r="28" spans="2:65" s="20" customFormat="1" ht="14">
      <c r="B28" s="288" t="s">
        <v>45</v>
      </c>
      <c r="C28" s="287" t="s">
        <v>356</v>
      </c>
      <c r="D28" s="207"/>
      <c r="E28" s="227" t="s">
        <v>45</v>
      </c>
      <c r="F28" s="243" t="s">
        <v>103</v>
      </c>
      <c r="G28" s="291">
        <v>0</v>
      </c>
      <c r="H28" s="227" t="s">
        <v>45</v>
      </c>
      <c r="I28" s="243" t="s">
        <v>103</v>
      </c>
      <c r="J28" s="291">
        <v>0</v>
      </c>
      <c r="K28" s="227" t="s">
        <v>45</v>
      </c>
      <c r="L28" s="243" t="s">
        <v>103</v>
      </c>
      <c r="M28" s="291">
        <v>0</v>
      </c>
      <c r="N28" s="227" t="s">
        <v>45</v>
      </c>
      <c r="O28" s="322" t="s">
        <v>103</v>
      </c>
      <c r="P28" s="323">
        <v>1</v>
      </c>
      <c r="Q28" s="210"/>
      <c r="R28" s="158"/>
      <c r="S28" s="258"/>
      <c r="T28" s="215" t="s">
        <v>298</v>
      </c>
      <c r="V28" s="158"/>
      <c r="W28" s="158"/>
      <c r="X28" s="158"/>
      <c r="Y28" s="158"/>
      <c r="Z28" s="158"/>
      <c r="AA28" s="158"/>
      <c r="AB28" s="158"/>
      <c r="AC28" s="158"/>
      <c r="AD28" s="15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57"/>
    </row>
    <row r="29" spans="2:65" s="20" customFormat="1" ht="14">
      <c r="B29" s="231" t="s">
        <v>289</v>
      </c>
      <c r="C29" s="223" t="s">
        <v>272</v>
      </c>
      <c r="D29" s="207"/>
      <c r="E29" s="227" t="s">
        <v>46</v>
      </c>
      <c r="F29" s="180" t="s">
        <v>298</v>
      </c>
      <c r="G29" s="291">
        <v>80</v>
      </c>
      <c r="H29" s="227" t="s">
        <v>46</v>
      </c>
      <c r="I29" s="180" t="s">
        <v>298</v>
      </c>
      <c r="J29" s="184">
        <v>46</v>
      </c>
      <c r="K29" s="227" t="s">
        <v>46</v>
      </c>
      <c r="L29" s="180" t="s">
        <v>298</v>
      </c>
      <c r="M29" s="184">
        <v>112</v>
      </c>
      <c r="N29" s="227" t="s">
        <v>46</v>
      </c>
      <c r="O29" s="180" t="s">
        <v>298</v>
      </c>
      <c r="P29" s="184">
        <v>75</v>
      </c>
      <c r="Q29" s="210"/>
      <c r="R29" s="158"/>
      <c r="S29" s="258"/>
      <c r="T29" s="215" t="s">
        <v>295</v>
      </c>
      <c r="U29" s="158"/>
      <c r="V29" s="158"/>
      <c r="W29" s="158"/>
      <c r="X29" s="158"/>
      <c r="Y29" s="158"/>
      <c r="Z29" s="158"/>
      <c r="AA29" s="158"/>
      <c r="AB29" s="158"/>
      <c r="AC29" s="158"/>
      <c r="AD29" s="15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57"/>
    </row>
    <row r="30" spans="2:65" s="20" customFormat="1" ht="14">
      <c r="B30" s="231" t="s">
        <v>353</v>
      </c>
      <c r="C30" s="223" t="s">
        <v>357</v>
      </c>
      <c r="D30" s="207"/>
      <c r="E30" s="227" t="s">
        <v>47</v>
      </c>
      <c r="F30" s="243" t="s">
        <v>103</v>
      </c>
      <c r="G30" s="291">
        <v>1</v>
      </c>
      <c r="H30" s="227" t="s">
        <v>47</v>
      </c>
      <c r="I30" s="243" t="s">
        <v>103</v>
      </c>
      <c r="J30" s="291">
        <v>0</v>
      </c>
      <c r="K30" s="227" t="s">
        <v>47</v>
      </c>
      <c r="L30" s="322" t="s">
        <v>103</v>
      </c>
      <c r="M30" s="323">
        <v>0</v>
      </c>
      <c r="N30" s="227" t="s">
        <v>47</v>
      </c>
      <c r="O30" s="322" t="s">
        <v>103</v>
      </c>
      <c r="P30" s="323">
        <v>0</v>
      </c>
      <c r="Q30" s="210"/>
      <c r="R30" s="158"/>
      <c r="S30" s="258"/>
      <c r="T30" s="215" t="s">
        <v>435</v>
      </c>
      <c r="U30" s="158"/>
      <c r="V30" s="158"/>
      <c r="W30" s="158"/>
      <c r="X30" s="158"/>
      <c r="Y30" s="158"/>
      <c r="Z30" s="158"/>
      <c r="AA30" s="158"/>
      <c r="AB30" s="158"/>
      <c r="AC30" s="158"/>
      <c r="AD30" s="15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57"/>
    </row>
    <row r="31" spans="2:65" s="20" customFormat="1" ht="14">
      <c r="B31" s="207"/>
      <c r="C31" s="59"/>
      <c r="D31" s="207"/>
      <c r="E31" s="227" t="s">
        <v>48</v>
      </c>
      <c r="F31" s="243" t="s">
        <v>103</v>
      </c>
      <c r="G31" s="291">
        <v>0</v>
      </c>
      <c r="H31" s="227" t="s">
        <v>48</v>
      </c>
      <c r="I31" s="243" t="s">
        <v>103</v>
      </c>
      <c r="J31" s="291">
        <v>0</v>
      </c>
      <c r="K31" s="227" t="s">
        <v>48</v>
      </c>
      <c r="L31" s="322" t="s">
        <v>103</v>
      </c>
      <c r="M31" s="323">
        <v>0</v>
      </c>
      <c r="N31" s="227" t="s">
        <v>48</v>
      </c>
      <c r="O31" s="322" t="s">
        <v>103</v>
      </c>
      <c r="P31" s="323">
        <v>0</v>
      </c>
      <c r="Q31" s="210"/>
      <c r="R31" s="158"/>
      <c r="S31" s="258"/>
      <c r="T31" s="215" t="s">
        <v>301</v>
      </c>
      <c r="U31" s="158"/>
      <c r="V31" s="158"/>
      <c r="W31" s="158"/>
      <c r="X31" s="158"/>
      <c r="Y31" s="158"/>
      <c r="Z31" s="158"/>
      <c r="AA31" s="158"/>
      <c r="AB31" s="158"/>
      <c r="AC31" s="158"/>
      <c r="AD31" s="15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57"/>
    </row>
    <row r="32" spans="2:65" s="20" customFormat="1" ht="14">
      <c r="B32" s="288" t="s">
        <v>46</v>
      </c>
      <c r="C32" s="287" t="s">
        <v>437</v>
      </c>
      <c r="D32" s="207"/>
      <c r="E32" s="227" t="s">
        <v>273</v>
      </c>
      <c r="F32" s="180" t="s">
        <v>441</v>
      </c>
      <c r="G32" s="289">
        <v>15</v>
      </c>
      <c r="H32" s="227" t="s">
        <v>273</v>
      </c>
      <c r="I32" s="243" t="s">
        <v>441</v>
      </c>
      <c r="J32" s="303">
        <v>7</v>
      </c>
      <c r="K32" s="227" t="s">
        <v>273</v>
      </c>
      <c r="L32" s="180" t="s">
        <v>441</v>
      </c>
      <c r="M32" s="303">
        <v>15</v>
      </c>
      <c r="N32" s="227" t="s">
        <v>273</v>
      </c>
      <c r="O32" s="180" t="s">
        <v>441</v>
      </c>
      <c r="P32" s="303">
        <v>13</v>
      </c>
      <c r="Q32" s="210"/>
      <c r="R32" s="158"/>
      <c r="S32" s="258"/>
      <c r="T32" s="215" t="s">
        <v>303</v>
      </c>
      <c r="U32" s="158"/>
      <c r="V32" s="158"/>
      <c r="W32" s="158"/>
      <c r="X32" s="158"/>
      <c r="Y32" s="158"/>
      <c r="Z32" s="158"/>
      <c r="AA32" s="158"/>
      <c r="AB32" s="158"/>
      <c r="AC32" s="158"/>
      <c r="AD32" s="15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57"/>
    </row>
    <row r="33" spans="2:65" s="20" customFormat="1" ht="14">
      <c r="B33" s="231" t="s">
        <v>298</v>
      </c>
      <c r="C33" s="319" t="s">
        <v>284</v>
      </c>
      <c r="D33" s="207"/>
      <c r="E33" s="227" t="s">
        <v>50</v>
      </c>
      <c r="F33" s="243" t="s">
        <v>103</v>
      </c>
      <c r="G33" s="291">
        <v>0</v>
      </c>
      <c r="H33" s="227" t="s">
        <v>50</v>
      </c>
      <c r="I33" s="243" t="s">
        <v>103</v>
      </c>
      <c r="J33" s="291">
        <v>0</v>
      </c>
      <c r="K33" s="227" t="s">
        <v>50</v>
      </c>
      <c r="L33" s="322" t="s">
        <v>103</v>
      </c>
      <c r="M33" s="323">
        <v>0</v>
      </c>
      <c r="N33" s="227" t="s">
        <v>50</v>
      </c>
      <c r="O33" s="322" t="s">
        <v>444</v>
      </c>
      <c r="P33" s="323">
        <v>0</v>
      </c>
      <c r="Q33" s="210"/>
      <c r="R33" s="158"/>
      <c r="S33" s="258"/>
      <c r="T33" s="215" t="s">
        <v>304</v>
      </c>
      <c r="U33" s="158"/>
      <c r="V33" s="158"/>
      <c r="W33" s="158"/>
      <c r="X33" s="158"/>
      <c r="Y33" s="158"/>
      <c r="Z33" s="158"/>
      <c r="AA33" s="158"/>
      <c r="AB33" s="158"/>
      <c r="AC33" s="158"/>
      <c r="AD33" s="15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57"/>
    </row>
    <row r="34" spans="2:65" s="20" customFormat="1" ht="14">
      <c r="B34" s="231" t="s">
        <v>342</v>
      </c>
      <c r="C34" s="319" t="s">
        <v>351</v>
      </c>
      <c r="D34" s="207"/>
      <c r="E34" s="227" t="s">
        <v>51</v>
      </c>
      <c r="F34" s="243" t="s">
        <v>103</v>
      </c>
      <c r="G34" s="291">
        <v>0</v>
      </c>
      <c r="H34" s="227" t="s">
        <v>51</v>
      </c>
      <c r="I34" s="243" t="s">
        <v>103</v>
      </c>
      <c r="J34" s="291">
        <v>0</v>
      </c>
      <c r="K34" s="227" t="s">
        <v>51</v>
      </c>
      <c r="L34" s="322" t="s">
        <v>103</v>
      </c>
      <c r="M34" s="323">
        <v>0</v>
      </c>
      <c r="N34" s="227" t="s">
        <v>51</v>
      </c>
      <c r="O34" s="322" t="s">
        <v>294</v>
      </c>
      <c r="P34" s="323">
        <v>0</v>
      </c>
      <c r="Q34" s="210"/>
      <c r="R34" s="158"/>
      <c r="S34" s="258"/>
      <c r="T34" s="215" t="s">
        <v>305</v>
      </c>
      <c r="U34" s="158"/>
      <c r="V34" s="158"/>
      <c r="W34" s="158"/>
      <c r="X34" s="158"/>
      <c r="Y34" s="158"/>
      <c r="Z34" s="158"/>
      <c r="AA34" s="158"/>
      <c r="AB34" s="158"/>
      <c r="AC34" s="158"/>
      <c r="AD34" s="15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57"/>
    </row>
    <row r="35" spans="2:65" s="20" customFormat="1" ht="14">
      <c r="B35" s="231" t="s">
        <v>309</v>
      </c>
      <c r="C35" s="59"/>
      <c r="D35" s="207"/>
      <c r="E35" s="227" t="s">
        <v>274</v>
      </c>
      <c r="F35" s="243" t="s">
        <v>103</v>
      </c>
      <c r="G35" s="291">
        <v>0</v>
      </c>
      <c r="H35" s="227" t="s">
        <v>274</v>
      </c>
      <c r="I35" s="243" t="s">
        <v>103</v>
      </c>
      <c r="J35" s="291">
        <v>0</v>
      </c>
      <c r="K35" s="227" t="s">
        <v>274</v>
      </c>
      <c r="L35" s="322" t="s">
        <v>103</v>
      </c>
      <c r="M35" s="323">
        <v>0</v>
      </c>
      <c r="N35" s="227" t="s">
        <v>274</v>
      </c>
      <c r="O35" s="322" t="s">
        <v>103</v>
      </c>
      <c r="P35" s="323">
        <v>0</v>
      </c>
      <c r="Q35" s="210"/>
      <c r="R35" s="158"/>
      <c r="S35" s="258"/>
      <c r="T35" s="215" t="s">
        <v>306</v>
      </c>
      <c r="U35" s="158"/>
      <c r="V35" s="158"/>
      <c r="W35" s="158"/>
      <c r="X35" s="158"/>
      <c r="Y35" s="158"/>
      <c r="Z35" s="158"/>
      <c r="AA35" s="158"/>
      <c r="AB35" s="158"/>
      <c r="AC35" s="158"/>
      <c r="AD35" s="15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57"/>
    </row>
    <row r="36" spans="2:65" s="20" customFormat="1" ht="14">
      <c r="B36" s="231" t="s">
        <v>310</v>
      </c>
      <c r="C36" s="287" t="s">
        <v>360</v>
      </c>
      <c r="D36" s="207"/>
      <c r="E36" s="227" t="s">
        <v>278</v>
      </c>
      <c r="F36" s="243" t="s">
        <v>103</v>
      </c>
      <c r="G36" s="291">
        <v>0</v>
      </c>
      <c r="H36" s="227" t="s">
        <v>278</v>
      </c>
      <c r="I36" s="243" t="s">
        <v>103</v>
      </c>
      <c r="J36" s="291">
        <v>0</v>
      </c>
      <c r="K36" s="227" t="s">
        <v>278</v>
      </c>
      <c r="L36" s="322" t="s">
        <v>103</v>
      </c>
      <c r="M36" s="323">
        <v>0</v>
      </c>
      <c r="N36" s="227" t="s">
        <v>278</v>
      </c>
      <c r="O36" s="322" t="s">
        <v>103</v>
      </c>
      <c r="P36" s="323">
        <v>0</v>
      </c>
      <c r="Q36" s="210"/>
      <c r="R36" s="158"/>
      <c r="S36" s="258"/>
      <c r="T36" s="215" t="s">
        <v>345</v>
      </c>
      <c r="U36" s="158"/>
      <c r="V36" s="158"/>
      <c r="W36" s="158"/>
      <c r="X36" s="158"/>
      <c r="Y36" s="158"/>
      <c r="Z36" s="158"/>
      <c r="AA36" s="158"/>
      <c r="AB36" s="158"/>
      <c r="AC36" s="158"/>
      <c r="AD36" s="15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57"/>
    </row>
    <row r="37" spans="2:65" s="20" customFormat="1" ht="14">
      <c r="B37" s="231" t="s">
        <v>311</v>
      </c>
      <c r="C37" s="223" t="s">
        <v>347</v>
      </c>
      <c r="D37" s="207"/>
      <c r="E37" s="227" t="s">
        <v>53</v>
      </c>
      <c r="F37" s="243" t="s">
        <v>103</v>
      </c>
      <c r="G37" s="291">
        <v>0</v>
      </c>
      <c r="H37" s="227" t="s">
        <v>53</v>
      </c>
      <c r="I37" s="243" t="s">
        <v>103</v>
      </c>
      <c r="J37" s="291">
        <v>0</v>
      </c>
      <c r="K37" s="227" t="s">
        <v>53</v>
      </c>
      <c r="L37" s="322" t="s">
        <v>453</v>
      </c>
      <c r="M37" s="323">
        <v>1</v>
      </c>
      <c r="N37" s="227" t="s">
        <v>53</v>
      </c>
      <c r="O37" s="322" t="s">
        <v>103</v>
      </c>
      <c r="P37" s="323">
        <v>0</v>
      </c>
      <c r="Q37" s="210"/>
      <c r="R37" s="158"/>
      <c r="S37" s="258"/>
      <c r="T37" s="215" t="s">
        <v>347</v>
      </c>
      <c r="U37" s="158"/>
      <c r="V37" s="158"/>
      <c r="W37" s="158"/>
      <c r="X37" s="158"/>
      <c r="Y37" s="158"/>
      <c r="Z37" s="158"/>
      <c r="AA37" s="158"/>
      <c r="AB37" s="158"/>
      <c r="AC37" s="158"/>
      <c r="AD37" s="15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57"/>
    </row>
    <row r="38" spans="2:65" s="20" customFormat="1" ht="14">
      <c r="B38" s="231" t="s">
        <v>312</v>
      </c>
      <c r="C38" s="59"/>
      <c r="D38" s="207"/>
      <c r="E38" s="179"/>
      <c r="F38" s="243"/>
      <c r="G38" s="291"/>
      <c r="H38" s="253"/>
      <c r="I38" s="243"/>
      <c r="J38" s="291"/>
      <c r="K38" s="179"/>
      <c r="L38" s="180"/>
      <c r="M38" s="184"/>
      <c r="N38" s="179"/>
      <c r="O38" s="180"/>
      <c r="P38" s="184"/>
      <c r="Q38" s="210"/>
      <c r="R38" s="158"/>
      <c r="S38" s="258"/>
      <c r="T38" s="215" t="s">
        <v>307</v>
      </c>
      <c r="U38" s="158"/>
      <c r="V38" s="158"/>
      <c r="W38" s="158"/>
      <c r="X38" s="158"/>
      <c r="Y38" s="158"/>
      <c r="Z38" s="158"/>
      <c r="AA38" s="158"/>
      <c r="AB38" s="158"/>
      <c r="AC38" s="158"/>
      <c r="AD38" s="15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57"/>
    </row>
    <row r="39" spans="2:65" s="20" customFormat="1" ht="14">
      <c r="B39" s="231" t="s">
        <v>343</v>
      </c>
      <c r="C39" s="287" t="s">
        <v>355</v>
      </c>
      <c r="D39" s="207"/>
      <c r="E39" s="179"/>
      <c r="F39" s="243"/>
      <c r="G39" s="291"/>
      <c r="H39" s="187"/>
      <c r="I39" s="180"/>
      <c r="J39" s="184"/>
      <c r="K39" s="179"/>
      <c r="L39" s="180"/>
      <c r="M39" s="184"/>
      <c r="N39" s="179"/>
      <c r="O39" s="180"/>
      <c r="P39" s="184"/>
      <c r="Q39" s="210"/>
      <c r="R39" s="158"/>
      <c r="S39" s="258"/>
      <c r="T39" s="188" t="s">
        <v>308</v>
      </c>
      <c r="U39" s="158"/>
      <c r="V39" s="158"/>
      <c r="W39" s="158"/>
      <c r="X39" s="158"/>
      <c r="Y39" s="158"/>
      <c r="Z39" s="158"/>
      <c r="AA39" s="158"/>
      <c r="AB39" s="158"/>
      <c r="AC39" s="158"/>
      <c r="AD39" s="15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57"/>
    </row>
    <row r="40" spans="2:65" s="20" customFormat="1" ht="14">
      <c r="B40" s="207"/>
      <c r="C40" s="223" t="s">
        <v>382</v>
      </c>
      <c r="D40" s="207"/>
      <c r="E40" s="321"/>
      <c r="F40" s="321"/>
      <c r="G40" s="321"/>
      <c r="H40" s="187"/>
      <c r="I40" s="180"/>
      <c r="J40" s="184"/>
      <c r="K40" s="179"/>
      <c r="L40" s="180"/>
      <c r="M40" s="184"/>
      <c r="N40" s="179"/>
      <c r="O40" s="180"/>
      <c r="P40" s="184"/>
      <c r="Q40" s="210"/>
      <c r="R40" s="158"/>
      <c r="S40" s="258"/>
      <c r="T40" s="215" t="s">
        <v>309</v>
      </c>
      <c r="U40" s="158"/>
      <c r="V40" s="158"/>
      <c r="W40" s="158"/>
      <c r="X40" s="158"/>
      <c r="Y40" s="158"/>
      <c r="Z40" s="158"/>
      <c r="AA40" s="158"/>
      <c r="AB40" s="158"/>
      <c r="AC40" s="158"/>
      <c r="AD40" s="15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57"/>
    </row>
    <row r="41" spans="2:65" s="20" customFormat="1" ht="14">
      <c r="B41" s="288" t="s">
        <v>47</v>
      </c>
      <c r="C41" s="59"/>
      <c r="D41" s="207"/>
      <c r="E41" s="179"/>
      <c r="F41" s="180"/>
      <c r="G41" s="291"/>
      <c r="H41" s="187"/>
      <c r="I41" s="180"/>
      <c r="J41" s="184"/>
      <c r="K41" s="179"/>
      <c r="L41" s="180"/>
      <c r="M41" s="184"/>
      <c r="N41" s="179"/>
      <c r="O41" s="180"/>
      <c r="P41" s="184"/>
      <c r="Q41" s="210"/>
      <c r="R41" s="158"/>
      <c r="S41" s="258"/>
      <c r="T41" s="215" t="s">
        <v>310</v>
      </c>
      <c r="U41" s="158"/>
      <c r="V41" s="158"/>
      <c r="W41" s="158"/>
      <c r="X41" s="158"/>
      <c r="Y41" s="158"/>
      <c r="Z41" s="158"/>
      <c r="AA41" s="158"/>
      <c r="AB41" s="158"/>
      <c r="AC41" s="158"/>
      <c r="AD41" s="15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57"/>
    </row>
    <row r="42" spans="2:65" s="20" customFormat="1" ht="14">
      <c r="B42" s="231" t="s">
        <v>304</v>
      </c>
      <c r="C42" s="287" t="s">
        <v>381</v>
      </c>
      <c r="D42" s="207"/>
      <c r="E42" s="179"/>
      <c r="F42" s="180"/>
      <c r="G42" s="291"/>
      <c r="H42" s="187"/>
      <c r="I42" s="180"/>
      <c r="J42" s="184"/>
      <c r="K42" s="179"/>
      <c r="L42" s="180"/>
      <c r="M42" s="184"/>
      <c r="N42" s="179"/>
      <c r="O42" s="180"/>
      <c r="P42" s="184"/>
      <c r="Q42" s="210"/>
      <c r="R42" s="158"/>
      <c r="S42" s="258"/>
      <c r="T42" s="215" t="s">
        <v>311</v>
      </c>
      <c r="U42" s="158"/>
      <c r="V42" s="158"/>
      <c r="W42" s="158"/>
      <c r="X42" s="158"/>
      <c r="Y42" s="158"/>
      <c r="Z42" s="158"/>
      <c r="AA42" s="158"/>
      <c r="AB42" s="158"/>
      <c r="AC42" s="158"/>
      <c r="AD42" s="15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57"/>
    </row>
    <row r="43" spans="2:65" s="20" customFormat="1" ht="14">
      <c r="B43" s="231" t="s">
        <v>305</v>
      </c>
      <c r="C43" s="223" t="s">
        <v>314</v>
      </c>
      <c r="D43" s="207"/>
      <c r="E43" s="179"/>
      <c r="F43" s="180"/>
      <c r="G43" s="291"/>
      <c r="H43" s="187"/>
      <c r="I43" s="180"/>
      <c r="J43" s="184"/>
      <c r="K43" s="179"/>
      <c r="L43" s="180"/>
      <c r="M43" s="184"/>
      <c r="N43" s="179"/>
      <c r="O43" s="180"/>
      <c r="P43" s="184"/>
      <c r="Q43" s="210"/>
      <c r="R43" s="158"/>
      <c r="S43" s="259"/>
      <c r="T43" s="215" t="s">
        <v>312</v>
      </c>
      <c r="U43" s="158"/>
      <c r="V43" s="158"/>
      <c r="W43" s="158"/>
      <c r="X43" s="158"/>
      <c r="Y43" s="158"/>
      <c r="Z43" s="158"/>
      <c r="AA43" s="158"/>
      <c r="AB43" s="158"/>
      <c r="AC43" s="158"/>
      <c r="AD43" s="15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57"/>
    </row>
    <row r="44" spans="2:65" s="20" customFormat="1" ht="15" thickBot="1">
      <c r="B44" s="231" t="s">
        <v>306</v>
      </c>
      <c r="C44" s="59"/>
      <c r="D44" s="207"/>
      <c r="E44" s="190"/>
      <c r="F44" s="191"/>
      <c r="G44" s="302"/>
      <c r="H44" s="194"/>
      <c r="I44" s="191"/>
      <c r="J44" s="195"/>
      <c r="K44" s="190"/>
      <c r="L44" s="191"/>
      <c r="M44" s="195"/>
      <c r="N44" s="190"/>
      <c r="O44" s="191"/>
      <c r="P44" s="195"/>
      <c r="Q44" s="210"/>
      <c r="R44" s="158"/>
      <c r="S44" s="260"/>
      <c r="T44" s="215" t="s">
        <v>313</v>
      </c>
      <c r="U44" s="158"/>
      <c r="V44" s="158"/>
      <c r="W44" s="158"/>
      <c r="X44" s="158"/>
      <c r="Y44" s="158"/>
      <c r="Z44" s="158"/>
      <c r="AA44" s="158"/>
      <c r="AB44" s="158"/>
      <c r="AC44" s="158"/>
      <c r="AD44" s="15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57"/>
    </row>
    <row r="45" spans="2:65" s="20" customFormat="1" ht="15" thickBot="1">
      <c r="B45" s="231" t="s">
        <v>344</v>
      </c>
      <c r="C45" s="287" t="s">
        <v>349</v>
      </c>
      <c r="D45" s="207"/>
      <c r="E45" s="218"/>
      <c r="F45" s="218"/>
      <c r="G45" s="218"/>
      <c r="H45" s="218"/>
      <c r="I45" s="218"/>
      <c r="J45" s="218"/>
      <c r="K45" s="218"/>
      <c r="L45" s="218"/>
      <c r="M45" s="218"/>
      <c r="N45" s="218"/>
      <c r="O45" s="218"/>
      <c r="P45" s="218"/>
      <c r="Q45" s="210"/>
      <c r="R45" s="158"/>
      <c r="S45" s="261"/>
      <c r="T45" s="215" t="s">
        <v>169</v>
      </c>
      <c r="U45" s="158"/>
      <c r="V45" s="158"/>
      <c r="W45" s="158"/>
      <c r="X45" s="158"/>
      <c r="Y45" s="158"/>
      <c r="Z45" s="158"/>
      <c r="AA45" s="158"/>
      <c r="AB45" s="158"/>
      <c r="AC45" s="158"/>
      <c r="AD45" s="15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57"/>
    </row>
    <row r="46" spans="2:65" s="20" customFormat="1" ht="14">
      <c r="B46" s="207"/>
      <c r="C46" s="223" t="s">
        <v>341</v>
      </c>
      <c r="D46" s="207"/>
      <c r="E46" s="216" t="s">
        <v>269</v>
      </c>
      <c r="F46" s="370"/>
      <c r="G46" s="371"/>
      <c r="H46" s="371"/>
      <c r="I46" s="371"/>
      <c r="J46" s="371"/>
      <c r="K46" s="371"/>
      <c r="L46" s="372"/>
      <c r="M46" s="218"/>
      <c r="N46" s="218"/>
      <c r="O46" s="218"/>
      <c r="P46" s="218"/>
      <c r="Q46" s="210"/>
      <c r="R46" s="158"/>
      <c r="S46" s="261"/>
      <c r="T46" s="215" t="s">
        <v>314</v>
      </c>
      <c r="U46" s="158"/>
      <c r="V46" s="158"/>
      <c r="W46" s="158"/>
      <c r="X46" s="158"/>
      <c r="Y46" s="158"/>
      <c r="Z46" s="158"/>
      <c r="AA46" s="158"/>
      <c r="AB46" s="158"/>
      <c r="AC46" s="158"/>
      <c r="AD46" s="15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57"/>
    </row>
    <row r="47" spans="2:65" s="20" customFormat="1" ht="14">
      <c r="B47" s="288" t="s">
        <v>48</v>
      </c>
      <c r="C47" s="59"/>
      <c r="D47" s="207"/>
      <c r="E47" s="213"/>
      <c r="F47" s="373"/>
      <c r="G47" s="374"/>
      <c r="H47" s="374"/>
      <c r="I47" s="374"/>
      <c r="J47" s="374"/>
      <c r="K47" s="374"/>
      <c r="L47" s="375"/>
      <c r="M47" s="218"/>
      <c r="N47" s="218"/>
      <c r="O47" s="218"/>
      <c r="P47" s="218"/>
      <c r="Q47" s="210"/>
      <c r="R47" s="158"/>
      <c r="S47" s="261"/>
      <c r="T47" s="215" t="s">
        <v>315</v>
      </c>
      <c r="U47" s="158"/>
      <c r="V47" s="158"/>
      <c r="W47" s="158"/>
      <c r="X47" s="158"/>
      <c r="Y47" s="158"/>
      <c r="Z47" s="158"/>
      <c r="AA47" s="158"/>
      <c r="AB47" s="158"/>
      <c r="AC47" s="158"/>
      <c r="AD47" s="15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57"/>
    </row>
    <row r="48" spans="2:65" s="20" customFormat="1" ht="14">
      <c r="B48" s="231" t="s">
        <v>318</v>
      </c>
      <c r="C48" s="287" t="s">
        <v>348</v>
      </c>
      <c r="D48" s="207"/>
      <c r="E48" s="213"/>
      <c r="F48" s="373"/>
      <c r="G48" s="374"/>
      <c r="H48" s="374"/>
      <c r="I48" s="374"/>
      <c r="J48" s="374"/>
      <c r="K48" s="374"/>
      <c r="L48" s="375"/>
      <c r="M48" s="213"/>
      <c r="N48" s="213"/>
      <c r="O48" s="213"/>
      <c r="P48" s="213"/>
      <c r="Q48" s="210"/>
      <c r="R48" s="158"/>
      <c r="S48" s="261"/>
      <c r="T48" s="188" t="s">
        <v>316</v>
      </c>
      <c r="U48" s="158"/>
      <c r="V48" s="158"/>
      <c r="W48" s="158"/>
      <c r="X48" s="158"/>
      <c r="Y48" s="158"/>
      <c r="Z48" s="158"/>
      <c r="AA48" s="158"/>
      <c r="AB48" s="158"/>
      <c r="AC48" s="158"/>
      <c r="AD48" s="15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57"/>
    </row>
    <row r="49" spans="2:65" s="20" customFormat="1" ht="15" thickBot="1">
      <c r="B49" s="207"/>
      <c r="C49" s="223" t="s">
        <v>350</v>
      </c>
      <c r="D49" s="207"/>
      <c r="E49" s="218"/>
      <c r="F49" s="376"/>
      <c r="G49" s="377"/>
      <c r="H49" s="377"/>
      <c r="I49" s="377"/>
      <c r="J49" s="377"/>
      <c r="K49" s="377"/>
      <c r="L49" s="378"/>
      <c r="M49" s="213"/>
      <c r="N49" s="237"/>
      <c r="O49" s="237"/>
      <c r="P49" s="237"/>
      <c r="Q49" s="210"/>
      <c r="R49" s="158"/>
      <c r="S49" s="261"/>
      <c r="T49" s="215" t="s">
        <v>317</v>
      </c>
      <c r="U49" s="158"/>
      <c r="V49" s="158"/>
      <c r="W49" s="158"/>
      <c r="X49" s="158"/>
      <c r="Y49" s="158"/>
      <c r="Z49" s="158"/>
      <c r="AA49" s="158"/>
      <c r="AB49" s="158"/>
      <c r="AC49" s="158"/>
      <c r="AD49" s="15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57"/>
    </row>
    <row r="50" spans="2:65" s="157" customFormat="1" ht="15" thickBot="1">
      <c r="B50" s="238"/>
      <c r="C50" s="239"/>
      <c r="D50" s="238"/>
      <c r="E50" s="240"/>
      <c r="F50" s="240"/>
      <c r="G50" s="240"/>
      <c r="H50" s="240"/>
      <c r="I50" s="240"/>
      <c r="J50" s="240"/>
      <c r="K50" s="240"/>
      <c r="L50" s="240"/>
      <c r="M50" s="240"/>
      <c r="N50" s="240"/>
      <c r="O50" s="240"/>
      <c r="P50" s="240"/>
      <c r="Q50" s="239"/>
      <c r="R50" s="158"/>
      <c r="S50" s="261"/>
      <c r="T50" s="188" t="s">
        <v>318</v>
      </c>
      <c r="U50" s="158"/>
      <c r="V50" s="158"/>
      <c r="W50" s="158"/>
      <c r="X50" s="158"/>
      <c r="Y50" s="158"/>
      <c r="Z50" s="158"/>
      <c r="AA50" s="158"/>
      <c r="AB50" s="158"/>
      <c r="AC50" s="158"/>
      <c r="AD50" s="15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row>
    <row r="51" spans="2:65" s="157" customFormat="1" ht="15">
      <c r="B51" s="158"/>
      <c r="C51" s="158"/>
      <c r="D51" s="158"/>
      <c r="E51" s="202"/>
      <c r="F51" s="202"/>
      <c r="G51" s="103"/>
      <c r="H51" s="103"/>
      <c r="I51" s="103"/>
      <c r="J51" s="103"/>
      <c r="K51" s="103"/>
      <c r="L51" s="103"/>
      <c r="M51" s="103"/>
      <c r="N51" s="379"/>
      <c r="O51" s="379"/>
      <c r="P51" s="379"/>
      <c r="Q51" s="203"/>
      <c r="R51" s="158"/>
      <c r="S51" s="261"/>
      <c r="T51" s="188" t="s">
        <v>438</v>
      </c>
      <c r="U51" s="158"/>
      <c r="V51" s="158"/>
      <c r="W51" s="158"/>
      <c r="X51" s="158"/>
      <c r="Y51" s="158"/>
      <c r="Z51" s="158"/>
      <c r="AA51" s="158"/>
      <c r="AB51" s="158"/>
      <c r="AC51" s="158"/>
      <c r="AD51" s="15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row>
    <row r="52" spans="2:65" s="157" customFormat="1" ht="14">
      <c r="B52" s="158"/>
      <c r="C52" s="158"/>
      <c r="D52" s="158"/>
      <c r="E52" s="158"/>
      <c r="F52" s="158"/>
      <c r="G52" s="158"/>
      <c r="H52" s="158"/>
      <c r="I52" s="158"/>
      <c r="J52" s="158"/>
      <c r="K52" s="158"/>
      <c r="L52" s="158"/>
      <c r="M52" s="158"/>
      <c r="N52" s="158"/>
      <c r="O52" s="158"/>
      <c r="P52" s="158"/>
      <c r="Q52" s="158"/>
      <c r="R52" s="158"/>
      <c r="S52" s="261"/>
      <c r="T52" s="172"/>
      <c r="U52" s="158"/>
      <c r="V52" s="158"/>
      <c r="W52" s="158"/>
      <c r="X52" s="158"/>
      <c r="Y52" s="158"/>
      <c r="Z52" s="158"/>
      <c r="AA52" s="158"/>
      <c r="AB52" s="158"/>
      <c r="AC52" s="158"/>
      <c r="AD52" s="15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row>
    <row r="53" spans="2:65" s="157" customFormat="1" ht="14">
      <c r="B53" s="158"/>
      <c r="C53" s="158"/>
      <c r="D53" s="158"/>
      <c r="E53" s="365"/>
      <c r="F53" s="365"/>
      <c r="G53" s="365"/>
      <c r="H53" s="365"/>
      <c r="I53" s="365"/>
      <c r="J53" s="365"/>
      <c r="K53" s="365"/>
      <c r="L53" s="365"/>
      <c r="M53" s="365"/>
      <c r="N53" s="158"/>
      <c r="O53" s="158"/>
      <c r="P53" s="158"/>
      <c r="Q53" s="158"/>
      <c r="R53" s="158"/>
      <c r="S53" s="261"/>
      <c r="T53" s="172"/>
      <c r="U53" s="158"/>
      <c r="V53" s="158"/>
      <c r="W53" s="158"/>
      <c r="X53" s="158"/>
      <c r="Y53" s="158"/>
      <c r="Z53" s="158"/>
      <c r="AA53" s="158"/>
      <c r="AB53" s="158"/>
      <c r="AC53" s="158"/>
      <c r="AD53" s="15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row>
    <row r="54" spans="2:65" s="157" customFormat="1" ht="14">
      <c r="B54" s="158"/>
      <c r="C54" s="158"/>
      <c r="D54" s="158"/>
      <c r="E54" s="158"/>
      <c r="F54" s="158"/>
      <c r="G54" s="158"/>
      <c r="H54" s="158"/>
      <c r="I54" s="158"/>
      <c r="J54" s="158"/>
      <c r="K54" s="158"/>
      <c r="L54" s="158"/>
      <c r="M54" s="158"/>
      <c r="N54" s="158"/>
      <c r="O54" s="158"/>
      <c r="P54" s="158"/>
      <c r="Q54" s="158"/>
      <c r="R54" s="158"/>
      <c r="S54" s="261"/>
      <c r="T54" s="172"/>
      <c r="U54" s="158"/>
      <c r="V54" s="158"/>
      <c r="W54" s="158"/>
      <c r="X54" s="158"/>
      <c r="Y54" s="158"/>
      <c r="Z54" s="158"/>
      <c r="AA54" s="158"/>
      <c r="AB54" s="158"/>
      <c r="AC54" s="158"/>
      <c r="AD54" s="15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row>
    <row r="55" spans="2:65" s="157" customFormat="1" ht="14">
      <c r="B55" s="158"/>
      <c r="C55" s="158"/>
      <c r="D55" s="158"/>
      <c r="E55" s="158"/>
      <c r="F55" s="158"/>
      <c r="G55" s="158"/>
      <c r="H55" s="158"/>
      <c r="I55" s="158"/>
      <c r="J55" s="158"/>
      <c r="K55" s="158"/>
      <c r="L55" s="158"/>
      <c r="M55" s="158"/>
      <c r="N55" s="158"/>
      <c r="O55" s="158"/>
      <c r="P55" s="158"/>
      <c r="Q55" s="158"/>
      <c r="R55" s="158"/>
      <c r="S55" s="261"/>
      <c r="T55" s="172"/>
      <c r="U55" s="158"/>
      <c r="V55" s="158"/>
      <c r="W55" s="158"/>
      <c r="X55" s="158"/>
      <c r="Y55" s="158"/>
      <c r="Z55" s="158"/>
      <c r="AA55" s="158"/>
      <c r="AB55" s="158"/>
      <c r="AC55" s="158"/>
      <c r="AD55" s="15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row>
    <row r="56" spans="2:65" s="158" customFormat="1" ht="14">
      <c r="S56" s="261"/>
      <c r="T56" s="172"/>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row>
    <row r="57" spans="2:65" s="158" customFormat="1" ht="14">
      <c r="S57" s="261"/>
      <c r="T57" s="172"/>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row>
    <row r="58" spans="2:65" s="158" customFormat="1" ht="14">
      <c r="S58" s="261"/>
      <c r="T58" s="172"/>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row>
    <row r="59" spans="2:65" s="158" customFormat="1" ht="14">
      <c r="S59" s="261"/>
      <c r="T59" s="176"/>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row>
    <row r="60" spans="2:65" s="158" customFormat="1" ht="14">
      <c r="S60" s="261"/>
      <c r="T60" s="172"/>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row>
    <row r="61" spans="2:65" s="158" customFormat="1" ht="14">
      <c r="S61" s="261"/>
      <c r="T61" s="172"/>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row>
    <row r="62" spans="2:65" s="158" customFormat="1" ht="14">
      <c r="S62" s="261"/>
      <c r="T62" s="172"/>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row>
    <row r="63" spans="2:65" s="158" customFormat="1" ht="14">
      <c r="S63" s="261"/>
      <c r="T63" s="172"/>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row>
    <row r="64" spans="2:65" s="158" customFormat="1" ht="14">
      <c r="S64" s="261"/>
      <c r="T64" s="172"/>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row>
    <row r="65" spans="19:64" s="158" customFormat="1" ht="14">
      <c r="S65" s="261"/>
      <c r="T65" s="189"/>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row>
    <row r="66" spans="19:64" s="158" customFormat="1" ht="14">
      <c r="S66" s="261"/>
      <c r="T66" s="172"/>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row>
    <row r="67" spans="19:64" s="158" customFormat="1" ht="14">
      <c r="S67" s="261"/>
      <c r="T67" s="172"/>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row>
    <row r="68" spans="19:64" s="158" customFormat="1" ht="14">
      <c r="S68" s="261"/>
      <c r="T68" s="189"/>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row>
    <row r="69" spans="19:64" s="158" customFormat="1" ht="14">
      <c r="S69" s="261"/>
      <c r="T69" s="172"/>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row>
    <row r="70" spans="19:64" s="158" customFormat="1" ht="14">
      <c r="S70" s="261"/>
      <c r="T70" s="172"/>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row>
    <row r="71" spans="19:64" s="158" customFormat="1" ht="14">
      <c r="S71" s="261"/>
      <c r="T71" s="172"/>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row>
    <row r="72" spans="19:64" s="158" customFormat="1" ht="14">
      <c r="S72" s="261"/>
      <c r="T72" s="172"/>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row>
    <row r="73" spans="19:64" s="158" customFormat="1" ht="14">
      <c r="S73" s="261"/>
      <c r="T73" s="172"/>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row>
    <row r="74" spans="19:64" s="158" customFormat="1" ht="14">
      <c r="S74" s="261"/>
      <c r="T74" s="172"/>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row>
    <row r="75" spans="19:64" s="158" customFormat="1" ht="14">
      <c r="S75" s="261"/>
      <c r="T75" s="189"/>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row>
    <row r="76" spans="19:64" s="158" customFormat="1" ht="14">
      <c r="S76" s="261"/>
      <c r="T76" s="172"/>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row>
    <row r="77" spans="19:64" s="158" customFormat="1" ht="14">
      <c r="S77" s="261"/>
      <c r="T77" s="172"/>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row>
    <row r="78" spans="19:64" s="158" customFormat="1" ht="14">
      <c r="S78" s="261"/>
      <c r="T78" s="189"/>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row>
    <row r="79" spans="19:64" s="158" customFormat="1" ht="14">
      <c r="S79" s="261"/>
      <c r="T79" s="172"/>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row>
    <row r="80" spans="19:64" s="158" customFormat="1" ht="14">
      <c r="S80" s="261"/>
      <c r="T80" s="172"/>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row>
    <row r="81" spans="19:64" s="158" customFormat="1" ht="14">
      <c r="S81" s="261"/>
      <c r="T81" s="172"/>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row>
    <row r="82" spans="19:64" s="158" customFormat="1" ht="14">
      <c r="S82" s="261"/>
      <c r="T82" s="172"/>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row>
    <row r="83" spans="19:64" s="158" customFormat="1" ht="14">
      <c r="S83" s="261"/>
      <c r="T83" s="189"/>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row>
    <row r="84" spans="19:64" s="158" customFormat="1" ht="14">
      <c r="S84" s="261"/>
      <c r="T84" s="172"/>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row>
    <row r="85" spans="19:64" s="158" customFormat="1" ht="14">
      <c r="S85" s="261"/>
      <c r="T85" s="172"/>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row>
    <row r="86" spans="19:64" s="158" customFormat="1" ht="14">
      <c r="S86" s="261"/>
      <c r="T86" s="172"/>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row>
    <row r="87" spans="19:64" s="158" customFormat="1" ht="14">
      <c r="S87" s="261"/>
      <c r="T87" s="172"/>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row>
    <row r="88" spans="19:64" s="158" customFormat="1" ht="14">
      <c r="S88" s="261"/>
      <c r="T88" s="172"/>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row>
    <row r="89" spans="19:64" s="158" customFormat="1" ht="14">
      <c r="S89" s="261"/>
      <c r="T89" s="172"/>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row>
    <row r="90" spans="19:64" s="158" customFormat="1" ht="14">
      <c r="S90" s="261"/>
      <c r="T90" s="172"/>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row>
    <row r="91" spans="19:64" s="158" customFormat="1" ht="14">
      <c r="S91" s="261"/>
      <c r="T91" s="172"/>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row>
    <row r="92" spans="19:64" s="158" customFormat="1" ht="14">
      <c r="S92" s="261"/>
      <c r="T92" s="172"/>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row>
    <row r="93" spans="19:64" s="158" customFormat="1" ht="14">
      <c r="S93" s="261"/>
      <c r="T93" s="172"/>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row>
    <row r="94" spans="19:64" s="158" customFormat="1" ht="14">
      <c r="S94" s="261"/>
      <c r="T94" s="172"/>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row>
    <row r="95" spans="19:64" s="158" customFormat="1" ht="14">
      <c r="S95" s="261"/>
      <c r="T95" s="172"/>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row>
    <row r="96" spans="19:64" s="158" customFormat="1" ht="14">
      <c r="S96" s="261"/>
      <c r="T96" s="172"/>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row>
    <row r="97" spans="19:64" s="158" customFormat="1" ht="14">
      <c r="S97" s="261"/>
      <c r="T97" s="172"/>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row>
    <row r="98" spans="19:64" s="158" customFormat="1" ht="14">
      <c r="S98" s="261"/>
      <c r="T98" s="172"/>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row>
    <row r="99" spans="19:64" s="158" customFormat="1" ht="14">
      <c r="S99" s="261"/>
      <c r="T99" s="172"/>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row>
    <row r="100" spans="19:64" s="158" customFormat="1" ht="14">
      <c r="S100" s="261"/>
      <c r="T100" s="172"/>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row>
    <row r="101" spans="19:64" s="158" customFormat="1" ht="14">
      <c r="S101" s="261"/>
      <c r="T101" s="172"/>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row>
    <row r="102" spans="19:64" s="158" customFormat="1" ht="14">
      <c r="S102" s="261"/>
      <c r="T102" s="172"/>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row>
    <row r="103" spans="19:64" s="158" customFormat="1" ht="14">
      <c r="S103" s="261"/>
      <c r="T103" s="172"/>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row>
    <row r="104" spans="19:64" s="158" customFormat="1" ht="14">
      <c r="S104" s="261"/>
      <c r="T104" s="172"/>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row>
    <row r="105" spans="19:64" s="158" customFormat="1" ht="14">
      <c r="S105" s="261"/>
      <c r="T105" s="172"/>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row>
    <row r="106" spans="19:64" s="158" customFormat="1" ht="14">
      <c r="S106" s="261"/>
      <c r="T106" s="172"/>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row>
    <row r="107" spans="19:64" s="158" customFormat="1" ht="14">
      <c r="S107" s="261"/>
      <c r="T107" s="172"/>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row>
    <row r="108" spans="19:64" s="158" customFormat="1" ht="14">
      <c r="S108" s="261"/>
      <c r="T108" s="172"/>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row>
    <row r="109" spans="19:64" s="158" customFormat="1" ht="14">
      <c r="S109" s="261"/>
      <c r="T109" s="172"/>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row>
    <row r="110" spans="19:64" s="158" customFormat="1" ht="14">
      <c r="S110" s="261"/>
      <c r="T110" s="172"/>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row>
    <row r="111" spans="19:64" s="158" customFormat="1" ht="14">
      <c r="S111" s="261"/>
      <c r="T111" s="172"/>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row>
    <row r="112" spans="19:64" s="158" customFormat="1" ht="14">
      <c r="S112" s="261"/>
      <c r="T112" s="172"/>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row>
    <row r="113" spans="19:64" s="158" customFormat="1" ht="14">
      <c r="S113" s="261"/>
      <c r="T113" s="172"/>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row>
    <row r="114" spans="19:64" s="158" customFormat="1" ht="14">
      <c r="S114" s="261"/>
      <c r="T114" s="172"/>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row>
    <row r="115" spans="19:64" s="158" customFormat="1" ht="14">
      <c r="S115" s="261"/>
      <c r="T115" s="172"/>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row>
    <row r="116" spans="19:64" s="158" customFormat="1" ht="14">
      <c r="S116" s="261"/>
      <c r="T116" s="172"/>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row>
    <row r="117" spans="19:64" s="158" customFormat="1" ht="14">
      <c r="S117" s="261"/>
      <c r="T117" s="172"/>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row>
    <row r="118" spans="19:64" s="158" customFormat="1" ht="14">
      <c r="S118" s="261"/>
      <c r="T118" s="172"/>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row>
    <row r="119" spans="19:64" s="158" customFormat="1" ht="14">
      <c r="S119" s="261"/>
      <c r="T119" s="172"/>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row>
    <row r="120" spans="19:64" s="158" customFormat="1" ht="14">
      <c r="S120" s="261"/>
      <c r="T120" s="189"/>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row>
    <row r="121" spans="19:64" s="158" customFormat="1" ht="14">
      <c r="S121" s="261"/>
      <c r="T121" s="172"/>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row>
    <row r="122" spans="19:64" s="158" customFormat="1" ht="14">
      <c r="S122" s="261"/>
      <c r="T122" s="176"/>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row>
    <row r="123" spans="19:64" s="158" customFormat="1" ht="14">
      <c r="S123" s="261"/>
      <c r="T123" s="172"/>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row>
    <row r="124" spans="19:64" s="158" customFormat="1" ht="14">
      <c r="S124" s="261"/>
      <c r="T124" s="172"/>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row>
    <row r="125" spans="19:64" s="158" customFormat="1" ht="14">
      <c r="S125" s="261"/>
      <c r="T125" s="172"/>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row>
    <row r="126" spans="19:64" s="158" customFormat="1" ht="14">
      <c r="S126" s="261"/>
      <c r="T126" s="189"/>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row>
    <row r="127" spans="19:64" s="158" customFormat="1" ht="14">
      <c r="S127" s="261"/>
      <c r="T127" s="172"/>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row>
    <row r="128" spans="19:64" s="158" customFormat="1" ht="14">
      <c r="S128" s="261"/>
      <c r="T128" s="172"/>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row>
    <row r="129" spans="19:64" s="158" customFormat="1" ht="14">
      <c r="S129" s="261"/>
      <c r="T129" s="172"/>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row>
    <row r="130" spans="19:64" s="158" customFormat="1" ht="14">
      <c r="S130" s="261"/>
      <c r="T130" s="189"/>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row>
    <row r="131" spans="19:64" s="158" customFormat="1" ht="14">
      <c r="S131" s="261"/>
      <c r="T131" s="172"/>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row>
    <row r="132" spans="19:64" s="158" customFormat="1" ht="14">
      <c r="S132" s="261"/>
      <c r="T132" s="172"/>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row>
    <row r="133" spans="19:64" s="158" customFormat="1">
      <c r="S133" s="261"/>
      <c r="T133" s="261"/>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row>
    <row r="134" spans="19:64" s="158" customFormat="1">
      <c r="S134" s="261"/>
      <c r="T134" s="261"/>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row>
    <row r="135" spans="19:64" s="158" customFormat="1">
      <c r="S135" s="261"/>
      <c r="T135" s="261"/>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row>
    <row r="136" spans="19:64" s="158" customFormat="1">
      <c r="S136" s="261"/>
      <c r="T136" s="261"/>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row>
    <row r="137" spans="19:64" s="158" customFormat="1">
      <c r="S137" s="261"/>
      <c r="T137" s="261"/>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row>
    <row r="138" spans="19:64" s="158" customFormat="1">
      <c r="S138" s="261"/>
      <c r="T138" s="261"/>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row>
    <row r="139" spans="19:64" s="158" customFormat="1">
      <c r="S139" s="261"/>
      <c r="T139" s="261"/>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row>
    <row r="140" spans="19:64" s="158" customFormat="1">
      <c r="S140" s="261"/>
      <c r="T140" s="261"/>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row>
    <row r="141" spans="19:64" s="158" customFormat="1">
      <c r="S141" s="261"/>
      <c r="T141" s="261"/>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row>
    <row r="142" spans="19:64" s="158" customFormat="1">
      <c r="S142" s="261"/>
      <c r="T142" s="261"/>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row>
    <row r="143" spans="19:64" s="158" customFormat="1">
      <c r="S143" s="261"/>
      <c r="T143" s="261"/>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row>
    <row r="144" spans="19:64" s="158" customFormat="1">
      <c r="S144" s="261"/>
      <c r="T144" s="261"/>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row>
    <row r="145" spans="19:64" s="158" customFormat="1">
      <c r="S145" s="261"/>
      <c r="T145" s="261"/>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row>
    <row r="146" spans="19:64" s="158" customFormat="1">
      <c r="S146" s="261"/>
      <c r="T146" s="261"/>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row>
    <row r="147" spans="19:64" s="158" customFormat="1">
      <c r="S147" s="261"/>
      <c r="T147" s="261"/>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row>
    <row r="148" spans="19:64" s="158" customFormat="1">
      <c r="S148" s="261"/>
      <c r="T148" s="261"/>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row>
    <row r="149" spans="19:64" s="158" customFormat="1">
      <c r="S149" s="261"/>
      <c r="T149" s="261"/>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row>
    <row r="150" spans="19:64" s="158" customFormat="1">
      <c r="S150" s="261"/>
      <c r="T150" s="261"/>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row>
    <row r="151" spans="19:64" s="158" customFormat="1">
      <c r="S151" s="261"/>
      <c r="T151" s="261"/>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row>
    <row r="152" spans="19:64" s="158" customFormat="1">
      <c r="S152" s="261"/>
      <c r="T152" s="261"/>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row>
    <row r="153" spans="19:64" s="158" customFormat="1">
      <c r="S153" s="261"/>
      <c r="T153" s="261"/>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row>
    <row r="154" spans="19:64" s="158" customFormat="1">
      <c r="S154" s="261"/>
      <c r="T154" s="261"/>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row>
    <row r="155" spans="19:64" s="157" customFormat="1">
      <c r="S155" s="261"/>
      <c r="T155" s="261"/>
      <c r="U155" s="158"/>
      <c r="V155" s="158"/>
      <c r="W155" s="158"/>
      <c r="X155" s="158"/>
      <c r="Y155" s="158"/>
      <c r="Z155" s="158"/>
      <c r="AA155" s="158"/>
      <c r="AB155" s="158"/>
      <c r="AC155" s="158"/>
      <c r="AD155" s="15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row>
    <row r="156" spans="19:64" s="157" customFormat="1">
      <c r="S156" s="261"/>
      <c r="T156" s="261"/>
      <c r="U156" s="158"/>
      <c r="V156" s="158"/>
      <c r="W156" s="158"/>
      <c r="X156" s="158"/>
      <c r="Y156" s="158"/>
      <c r="Z156" s="158"/>
      <c r="AA156" s="158"/>
      <c r="AB156" s="158"/>
      <c r="AC156" s="158"/>
      <c r="AD156" s="15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row>
    <row r="157" spans="19:64" s="157" customFormat="1">
      <c r="S157" s="261"/>
      <c r="T157" s="261"/>
      <c r="U157" s="158"/>
      <c r="V157" s="158"/>
      <c r="W157" s="158"/>
      <c r="X157" s="158"/>
      <c r="Y157" s="158"/>
      <c r="Z157" s="158"/>
      <c r="AA157" s="158"/>
      <c r="AB157" s="158"/>
      <c r="AC157" s="158"/>
      <c r="AD157" s="15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row>
    <row r="158" spans="19:64" s="157" customFormat="1">
      <c r="S158" s="261"/>
      <c r="T158" s="261"/>
      <c r="U158" s="158"/>
      <c r="V158" s="158"/>
      <c r="W158" s="158"/>
      <c r="X158" s="158"/>
      <c r="Y158" s="158"/>
      <c r="Z158" s="158"/>
      <c r="AA158" s="158"/>
      <c r="AB158" s="158"/>
      <c r="AC158" s="158"/>
      <c r="AD158" s="15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row>
    <row r="159" spans="19:64" s="157" customFormat="1">
      <c r="S159" s="261"/>
      <c r="T159" s="261"/>
      <c r="U159" s="158"/>
      <c r="V159" s="158"/>
      <c r="W159" s="158"/>
      <c r="X159" s="158"/>
      <c r="Y159" s="158"/>
      <c r="Z159" s="158"/>
      <c r="AA159" s="158"/>
      <c r="AB159" s="158"/>
      <c r="AC159" s="158"/>
      <c r="AD159" s="15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row>
    <row r="160" spans="19:64" s="157" customFormat="1">
      <c r="S160" s="261"/>
      <c r="T160" s="261"/>
      <c r="U160" s="158"/>
      <c r="V160" s="158"/>
      <c r="W160" s="158"/>
      <c r="X160" s="158"/>
      <c r="Y160" s="158"/>
      <c r="Z160" s="158"/>
      <c r="AA160" s="158"/>
      <c r="AB160" s="158"/>
      <c r="AC160" s="158"/>
      <c r="AD160" s="15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row>
    <row r="161" spans="19:64" s="157" customFormat="1">
      <c r="S161" s="261"/>
      <c r="T161" s="261"/>
      <c r="U161" s="158"/>
      <c r="V161" s="158"/>
      <c r="W161" s="158"/>
      <c r="X161" s="158"/>
      <c r="Y161" s="158"/>
      <c r="Z161" s="158"/>
      <c r="AA161" s="158"/>
      <c r="AB161" s="158"/>
      <c r="AC161" s="158"/>
      <c r="AD161" s="15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row>
    <row r="162" spans="19:64" s="157" customFormat="1">
      <c r="S162" s="261"/>
      <c r="T162" s="261"/>
      <c r="U162" s="158"/>
      <c r="V162" s="158"/>
      <c r="W162" s="158"/>
      <c r="X162" s="158"/>
      <c r="Y162" s="158"/>
      <c r="Z162" s="158"/>
      <c r="AA162" s="158"/>
      <c r="AB162" s="158"/>
      <c r="AC162" s="158"/>
      <c r="AD162" s="15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row>
    <row r="163" spans="19:64" s="157" customFormat="1">
      <c r="S163" s="261"/>
      <c r="T163" s="261"/>
      <c r="U163" s="158"/>
      <c r="V163" s="158"/>
      <c r="W163" s="158"/>
      <c r="X163" s="158"/>
      <c r="Y163" s="158"/>
      <c r="Z163" s="158"/>
      <c r="AA163" s="158"/>
      <c r="AB163" s="158"/>
      <c r="AC163" s="158"/>
      <c r="AD163" s="15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row>
    <row r="164" spans="19:64" s="157" customFormat="1">
      <c r="S164" s="261"/>
      <c r="T164" s="261"/>
      <c r="U164" s="158"/>
      <c r="V164" s="158"/>
      <c r="W164" s="158"/>
      <c r="X164" s="158"/>
      <c r="Y164" s="158"/>
      <c r="Z164" s="158"/>
      <c r="AA164" s="158"/>
      <c r="AB164" s="158"/>
      <c r="AC164" s="158"/>
      <c r="AD164" s="15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row>
    <row r="165" spans="19:64" s="157" customFormat="1">
      <c r="S165" s="261"/>
      <c r="T165" s="261"/>
      <c r="U165" s="158"/>
      <c r="V165" s="158"/>
      <c r="W165" s="158"/>
      <c r="X165" s="158"/>
      <c r="Y165" s="158"/>
      <c r="Z165" s="158"/>
      <c r="AA165" s="158"/>
      <c r="AB165" s="158"/>
      <c r="AC165" s="158"/>
      <c r="AD165" s="15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row>
    <row r="166" spans="19:64" s="157" customFormat="1">
      <c r="S166" s="261"/>
      <c r="T166" s="261"/>
      <c r="U166" s="158"/>
      <c r="V166" s="158"/>
      <c r="W166" s="158"/>
      <c r="X166" s="158"/>
      <c r="Y166" s="158"/>
      <c r="Z166" s="158"/>
      <c r="AA166" s="158"/>
      <c r="AB166" s="158"/>
      <c r="AC166" s="158"/>
      <c r="AD166" s="15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row>
    <row r="167" spans="19:64" s="157" customFormat="1">
      <c r="S167" s="261"/>
      <c r="T167" s="261"/>
      <c r="U167" s="158"/>
      <c r="V167" s="158"/>
      <c r="W167" s="158"/>
      <c r="X167" s="158"/>
      <c r="Y167" s="158"/>
      <c r="Z167" s="158"/>
      <c r="AA167" s="158"/>
      <c r="AB167" s="158"/>
      <c r="AC167" s="158"/>
      <c r="AD167" s="15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row>
    <row r="168" spans="19:64" s="157" customFormat="1">
      <c r="S168" s="261"/>
      <c r="T168" s="261"/>
      <c r="U168" s="158"/>
      <c r="V168" s="158"/>
      <c r="W168" s="158"/>
      <c r="X168" s="158"/>
      <c r="Y168" s="158"/>
      <c r="Z168" s="158"/>
      <c r="AA168" s="158"/>
      <c r="AB168" s="158"/>
      <c r="AC168" s="158"/>
      <c r="AD168" s="15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row>
    <row r="169" spans="19:64" s="157" customFormat="1">
      <c r="S169" s="261"/>
      <c r="T169" s="261"/>
      <c r="U169" s="158"/>
      <c r="V169" s="158"/>
      <c r="W169" s="158"/>
      <c r="X169" s="158"/>
      <c r="Y169" s="158"/>
      <c r="Z169" s="158"/>
      <c r="AA169" s="158"/>
      <c r="AB169" s="158"/>
      <c r="AC169" s="158"/>
      <c r="AD169" s="15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row>
    <row r="170" spans="19:64" s="157" customFormat="1">
      <c r="S170" s="261"/>
      <c r="T170" s="261"/>
      <c r="U170" s="158"/>
      <c r="V170" s="158"/>
      <c r="W170" s="158"/>
      <c r="X170" s="158"/>
      <c r="Y170" s="158"/>
      <c r="Z170" s="158"/>
      <c r="AA170" s="158"/>
      <c r="AB170" s="158"/>
      <c r="AC170" s="158"/>
      <c r="AD170" s="15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row>
    <row r="171" spans="19:64" s="157" customFormat="1">
      <c r="S171" s="261"/>
      <c r="T171" s="261"/>
      <c r="U171" s="158"/>
      <c r="V171" s="158"/>
      <c r="W171" s="158"/>
      <c r="X171" s="158"/>
      <c r="Y171" s="158"/>
      <c r="Z171" s="158"/>
      <c r="AA171" s="158"/>
      <c r="AB171" s="158"/>
      <c r="AC171" s="158"/>
      <c r="AD171" s="15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row>
  </sheetData>
  <sheetProtection password="C446" sheet="1" objects="1" scenarios="1"/>
  <mergeCells count="12">
    <mergeCell ref="E2:P2"/>
    <mergeCell ref="J4:N4"/>
    <mergeCell ref="F46:L49"/>
    <mergeCell ref="E4:I5"/>
    <mergeCell ref="E9:J9"/>
    <mergeCell ref="N51:P51"/>
    <mergeCell ref="E53:M53"/>
    <mergeCell ref="O10:P10"/>
    <mergeCell ref="E11:G11"/>
    <mergeCell ref="H11:J11"/>
    <mergeCell ref="K11:M11"/>
    <mergeCell ref="N11:P11"/>
  </mergeCells>
  <dataValidations count="4">
    <dataValidation type="list" allowBlank="1" showInputMessage="1" showErrorMessage="1" sqref="H38:H44 K38:K44 N38:N44 E23 H23 K23 N23 E38:E39 E41:E44">
      <formula1>indicadores_invertebrados</formula1>
    </dataValidation>
    <dataValidation type="list" allowBlank="1" showInputMessage="1" showErrorMessage="1" sqref="L38:L44 F41:F44 I23:I44 F23:F39 L23:L29 L32 O23 O29 O32 O38:O44">
      <formula1>espécies_invertebrados</formula1>
    </dataValidation>
    <dataValidation type="whole" allowBlank="1" showInputMessage="1" showErrorMessage="1" error="O número de indivíduos precisa ser um valor inteiro" sqref="M38:M44 G41:G44 J23:J31 G23:G31 P29 M23:M29 J33:J44 G33:G39 P23 P38:P44">
      <formula1>0</formula1>
      <formula2>500</formula2>
    </dataValidation>
    <dataValidation allowBlank="1" showInputMessage="1" error="O número de indivíduos precisa ser um valor inteiro" sqref="G32 J32 M32 P32"/>
  </dataValidations>
  <printOptions horizontalCentered="1"/>
  <pageMargins left="7.874015748031496E-2" right="0.11811023622047245" top="0.39370078740157483" bottom="0.39370078740157483" header="0.23622047244094491" footer="0.31496062992125984"/>
  <pageSetup paperSize="9" orientation="portrait" horizontalDpi="4294967292" verticalDpi="4294967292"/>
  <headerFooter>
    <oddHeader>&amp;CReef Check Brasil - invertebrados dados espécies</oddHeader>
    <oddFooter>Página &amp;P de &amp;N</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INSTRUÇÕES</vt:lpstr>
      <vt:lpstr>SUMÁRIO</vt:lpstr>
      <vt:lpstr>GRÁFICOS</vt:lpstr>
      <vt:lpstr>DADOS PEIXES</vt:lpstr>
      <vt:lpstr>DADOS INVERTEBRADOS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dc:creator>
  <cp:lastModifiedBy>Coral Vivo Bahia</cp:lastModifiedBy>
  <cp:lastPrinted>2018-02-20T13:53:55Z</cp:lastPrinted>
  <dcterms:created xsi:type="dcterms:W3CDTF">2017-05-31T10:05:50Z</dcterms:created>
  <dcterms:modified xsi:type="dcterms:W3CDTF">2019-03-27T20:05:55Z</dcterms:modified>
</cp:coreProperties>
</file>